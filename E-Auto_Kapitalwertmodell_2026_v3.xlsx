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leitung" sheetId="1" state="visible" r:id="rId3"/>
    <sheet name="Annahmen" sheetId="2" state="visible" r:id="rId4"/>
    <sheet name="Foerdermatrix" sheetId="3" state="visible" r:id="rId5"/>
    <sheet name="Modelle" sheetId="4" state="visible" r:id="rId6"/>
    <sheet name="Cashflow" sheetId="5" state="visible" r:id="rId7"/>
    <sheet name="Sensitivitaet" sheetId="6" state="visible" r:id="rId8"/>
    <sheet name="Ergebni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<sst xmlns="http://schemas.openxmlformats.org/spreadsheetml/2006/main" count="407" uniqueCount="343">
  <si>
    <t xml:space="preserve">Kapitalwertmodell: E-Auto kaufen, leasen oder LPG-Bestandsfahrzeug weiterfahren</t>
  </si>
  <si>
    <t xml:space="preserve">Recherchestand 4. August 2026. Quellen jeweils im betreffenden Blatt.</t>
  </si>
  <si>
    <t xml:space="preserve">Legende</t>
  </si>
  <si>
    <t xml:space="preserve">BLAU = Eingabe / Stellschraube. Nur diese Zellen überschreiben.</t>
  </si>
  <si>
    <t xml:space="preserve">SCHWARZ = Formel.   GRÜN = Verweis auf ein anderes Blatt.   GELB = ergebnistreibende Annahme.</t>
  </si>
  <si>
    <t xml:space="preserve">Die vier Handlungsalternativen</t>
  </si>
  <si>
    <t xml:space="preserve">A1  E-Auto sofort kaufen</t>
  </si>
  <si>
    <t xml:space="preserve">A2  E-Auto sofort leasen (Kette aus zwei 36-Monats-Verträgen)</t>
  </si>
  <si>
    <t xml:space="preserve">A3  vergleichbaren Verbrenner als Neuwagen kaufen</t>
  </si>
  <si>
    <t xml:space="preserve">A4  Bestandsfahrzeug reparieren, die Restnutzungsdauer abfahren, danach E-Auto kaufen</t>
  </si>
  <si>
    <t xml:space="preserve">Warum A4 eine Ersatzbeschaffung enthält</t>
  </si>
  <si>
    <t xml:space="preserve">Das Bestandsfahrzeug hält nur noch begrenzt. Ein Vergleich 'E-Auto sechs Jahre' gegen 'alter Wagen sechs Jahre'</t>
  </si>
  <si>
    <t xml:space="preserve">wäre daher unzulässig, weil die Alternativen unterschiedliche Nutzungsdauern hätten. Korrekt ist die</t>
  </si>
  <si>
    <t xml:space="preserve">Kettenbetrachtung: A4 fährt den Altwagen bis zum Ende seiner Restnutzungsdauer und beschafft danach ein</t>
  </si>
  <si>
    <t xml:space="preserve">Ersatzfahrzeug. Damit decken alle vier Alternativen denselben Zeitraum ab und sind vergleichbar.</t>
  </si>
  <si>
    <t xml:space="preserve">Die eigentliche Frage lautet also nicht 'E-Auto ja oder nein', sondern 'E-Auto jetzt oder in zwei Jahren'.</t>
  </si>
  <si>
    <t xml:space="preserve">Methodik</t>
  </si>
  <si>
    <t xml:space="preserve">Kostenvergleichsrechnung ohne Einzahlungsüberschüsse: verglichen werden Barwerte der Auszahlungsreihen.</t>
  </si>
  <si>
    <t xml:space="preserve">Entscheidungsregel: kleinster Barwert der Auszahlungen. Zusätzlich Annuität als äquivalente Jahreskosten.</t>
  </si>
  <si>
    <t xml:space="preserve">Blatt 'Cashflow' rechnet monatsgenau mit konformer Verzinsung i_m = (1+i_a)^(1/12) − 1.</t>
  </si>
  <si>
    <t xml:space="preserve">Blätter 'Modelle' und 'Sensitivitaet' rechnen jährlich in geschlossener Form; Abweichung wenige hundert Euro.</t>
  </si>
  <si>
    <t xml:space="preserve">Restwerte werden aus einer jährlichen Wertverlustrate abgeleitet, damit auch Fahrzeuge mit abweichendem</t>
  </si>
  <si>
    <t xml:space="preserve">Alter (Ersatzfahrzeug in A4) konsistent bewertet werden.</t>
  </si>
  <si>
    <t xml:space="preserve">Privatperson: keine Abschreibung, kein Vorsteuerabzug, THG-Prämie steuerfrei. Sunk Costs bleiben außen vor.</t>
  </si>
  <si>
    <t xml:space="preserve">Aufbau</t>
  </si>
  <si>
    <t xml:space="preserve">Annahmen · Foerdermatrix · Modelle (Marktübersicht + Kapitalwertvergleich aller Modelle) · Cashflow · Ergebnis · Sensitivitaet</t>
  </si>
  <si>
    <t xml:space="preserve">Annahmen – alle blauen Zellen sind Eingaben</t>
  </si>
  <si>
    <t xml:space="preserve">Realistisch vorbelegt. Bitte auf die eigene Situation anpassen.</t>
  </si>
  <si>
    <t xml:space="preserve">1   Fahrprofil und Kapitalmarkt</t>
  </si>
  <si>
    <t xml:space="preserve">Fahrleistung (km pro Jahr)</t>
  </si>
  <si>
    <t xml:space="preserve">Wichtigster Treiber der laufenden Kostendifferenz</t>
  </si>
  <si>
    <t xml:space="preserve">Betrachtungshorizont (Jahre)</t>
  </si>
  <si>
    <t xml:space="preserve">6 Jahre = 2 Leasingzyklen; alle Alternativen decken diesen Zeitraum ab</t>
  </si>
  <si>
    <t xml:space="preserve">Horizont in Monaten</t>
  </si>
  <si>
    <t xml:space="preserve">Kalkulationszinssatz p.a.</t>
  </si>
  <si>
    <t xml:space="preserve">Opportunitätskosten: entgangene Anlagerendite bzw. Kreditzins</t>
  </si>
  <si>
    <t xml:space="preserve">Monatszinssatz (konform)</t>
  </si>
  <si>
    <t xml:space="preserve">i_m = (1+i_a)^(1/12) − 1</t>
  </si>
  <si>
    <t xml:space="preserve">Energiepreissteigerung p.a.</t>
  </si>
  <si>
    <t xml:space="preserve">Wirkt auf Strom, Benzin und LPG gleichermaßen</t>
  </si>
  <si>
    <t xml:space="preserve">Fahrzeugpreissteigerung p.a.</t>
  </si>
  <si>
    <t xml:space="preserve">Für das Ersatzfahrzeug in Alternative A4</t>
  </si>
  <si>
    <t xml:space="preserve">2   Förderung</t>
  </si>
  <si>
    <t xml:space="preserve">Zu versteuerndes Haushaltseinkommen (€/Jahr)</t>
  </si>
  <si>
    <t xml:space="preserve">Ø der beiden aktuellsten Steuerbescheide, Partnereinkommen addiert</t>
  </si>
  <si>
    <t xml:space="preserve">Kinder unter 18 im Haushalt</t>
  </si>
  <si>
    <t xml:space="preserve">je 500 € Bonus, maximal 1.000 €</t>
  </si>
  <si>
    <t xml:space="preserve">Förderung BEV</t>
  </si>
  <si>
    <t xml:space="preserve">Automatischer Lookup aus der BAFA-Staffel</t>
  </si>
  <si>
    <t xml:space="preserve">Förderung Plug-in-Hybrid (nur Information)</t>
  </si>
  <si>
    <t xml:space="preserve">Auszahlungsmonat der Förderung nach Zulassung</t>
  </si>
  <si>
    <t xml:space="preserve">Antrag erst nach Zulassung, danach BAFA-Bearbeitung</t>
  </si>
  <si>
    <t xml:space="preserve">THG-Prämie (€/Jahr, nur BEV)</t>
  </si>
  <si>
    <t xml:space="preserve">2026 rund 250–370 €, für Privatpersonen steuerfrei</t>
  </si>
  <si>
    <t xml:space="preserve">Förderung beim Ersatzkauf in A4 noch verfügbar? (1=ja, 0=nein)</t>
  </si>
  <si>
    <t xml:space="preserve">Budget 3 Mrd. € gedeckelt, Programm endet spätestens 31.12.2029 – auf 0 setzen für den Pessimismusfall</t>
  </si>
  <si>
    <t xml:space="preserve">3   Energiepreise</t>
  </si>
  <si>
    <t xml:space="preserve">Strompreis zu Hause / Wallbox (€/kWh)</t>
  </si>
  <si>
    <t xml:space="preserve">Neukundentarife Aug. 2026 rd. 0,26 €; Ø Haushalt lt. BDEW 0,37 €</t>
  </si>
  <si>
    <t xml:space="preserve">Anteil Heimladen</t>
  </si>
  <si>
    <t xml:space="preserve">Ohne eigene Lademöglichkeit auf 0 setzen – kippt das Ergebnis häufig</t>
  </si>
  <si>
    <t xml:space="preserve">Strompreis öffentlich (€/kWh)</t>
  </si>
  <si>
    <t xml:space="preserve">AC ab 0,44 €, DC ab 0,45 € mit Tarif; ad hoc deutlich teurer</t>
  </si>
  <si>
    <t xml:space="preserve">Mischstrompreis (€/kWh)</t>
  </si>
  <si>
    <t xml:space="preserve">Benzinpreis Super E10 (€/l)</t>
  </si>
  <si>
    <t xml:space="preserve">ADAC-Bundesschnitt Ende Juli 2026: 2,139 €/l (Irankrieg-bedingt hoch)</t>
  </si>
  <si>
    <t xml:space="preserve">Autogaspreis LPG (€/l)</t>
  </si>
  <si>
    <t xml:space="preserve">Ihr Wert. Zur Einordnung: nationaler Schnitt 2026 rd. 1,10–1,22 €/l (glpautogas), Jahresmittel 1,148 € (autogasvergleich.de)</t>
  </si>
  <si>
    <t xml:space="preserve">4   Alternative A1 – E-Auto kaufen</t>
  </si>
  <si>
    <t xml:space="preserve">Modell</t>
  </si>
  <si>
    <t xml:space="preserve">Hyundai Inster (Beispiel)</t>
  </si>
  <si>
    <t xml:space="preserve">Auswahl aus dem Blatt 'Modelle' übertragen</t>
  </si>
  <si>
    <t xml:space="preserve">Listenpreis (€, brutto)</t>
  </si>
  <si>
    <t xml:space="preserve">Quelle: AutoScout24-Marktübersicht 02/2026</t>
  </si>
  <si>
    <t xml:space="preserve">Verbrauch WLTP (kWh/100 km)</t>
  </si>
  <si>
    <t xml:space="preserve">Herstellerangabe</t>
  </si>
  <si>
    <t xml:space="preserve">Realaufschlag auf WLTP</t>
  </si>
  <si>
    <t xml:space="preserve">ADAC-Auswertung: real rund +18 % im Jahresmittel inkl. Ladeverluste</t>
  </si>
  <si>
    <t xml:space="preserve">Rechenverbrauch (kWh/100 km)</t>
  </si>
  <si>
    <t xml:space="preserve">Jährliche Wertverlustrate BEV</t>
  </si>
  <si>
    <t xml:space="preserve">Daraus wird jeder Restwert altersgerecht abgeleitet – größte Unsicherheit</t>
  </si>
  <si>
    <t xml:space="preserve">Restwert am Horizontende (€)</t>
  </si>
  <si>
    <t xml:space="preserve">Versicherung (€/Jahr)</t>
  </si>
  <si>
    <t xml:space="preserve">E-Autos oft etwas teurer wegen HV-Reparaturkosten</t>
  </si>
  <si>
    <t xml:space="preserve">Wartung und Verschleiß (€/Jahr)</t>
  </si>
  <si>
    <t xml:space="preserve">Lt. ADAC 30–50 % günstiger als beim Verbrenner</t>
  </si>
  <si>
    <t xml:space="preserve">Wallbox inkl. Installation (einmalig, €)</t>
  </si>
  <si>
    <t xml:space="preserve">Spanne 1.000–2.500 €; ohne eigenen Stellplatz auf 0 setzen</t>
  </si>
  <si>
    <t xml:space="preserve">Kfz-Steuer (€/Jahr)</t>
  </si>
  <si>
    <t xml:space="preserve">BEV bis 31.12.2035 befreit, max. 10 Jahre ab Erstzulassung</t>
  </si>
  <si>
    <t xml:space="preserve">5   Alternative A2 – dasselbe E-Auto leasen</t>
  </si>
  <si>
    <t xml:space="preserve">Leasingfaktor OHNE eingerechnete Förderung</t>
  </si>
  <si>
    <t xml:space="preserve">Rate in % des Listenpreises. DIESER WERT entscheidet den Kauf-Leasing-Vergleich – unbedingt durch ein konkretes Angebot ersetzen. Beworbene Faktoren von 0,15–0,35 enthalten die Prämie bereits als Sonderzahlung und dürfen hier nicht eingetragen werden.</t>
  </si>
  <si>
    <t xml:space="preserve">Monatsrate (€)</t>
  </si>
  <si>
    <t xml:space="preserve">Vertragslaufzeit (Monate)</t>
  </si>
  <si>
    <t xml:space="preserve">Mindestens 36 Monate, sonst Rückforderung der Förderung</t>
  </si>
  <si>
    <t xml:space="preserve">Ratensteigerung im Folgevertrag</t>
  </si>
  <si>
    <t xml:space="preserve">Leasing-Sonderzahlung (€)</t>
  </si>
  <si>
    <t xml:space="preserve">0 lassen, wenn die Förderung separat über C17 einfließt – sonst Doppelzählung</t>
  </si>
  <si>
    <t xml:space="preserve">Inkludierte Fahrleistung (km/Jahr)</t>
  </si>
  <si>
    <t xml:space="preserve">Preis je Mehrkilometer (€)</t>
  </si>
  <si>
    <t xml:space="preserve">Marktüblich 0,10–0,15 €, Freigrenze meist 2.500 km</t>
  </si>
  <si>
    <t xml:space="preserve">Nachzahlung Mehrkilometer je Vertrag (€)</t>
  </si>
  <si>
    <t xml:space="preserve">Vollkasko ist im Leasing Pflicht</t>
  </si>
  <si>
    <t xml:space="preserve">6   Alternative A3 – Verbrenner als Neuwagen</t>
  </si>
  <si>
    <t xml:space="preserve">Kaufpreis (€, brutto)</t>
  </si>
  <si>
    <t xml:space="preserve">Verbrauch (l/100 km)</t>
  </si>
  <si>
    <t xml:space="preserve">Jährliche Wertverlustrate Verbrenner</t>
  </si>
  <si>
    <t xml:space="preserve">Verbrenner-Restwerte derzeit stabiler als BEV-Restwerte</t>
  </si>
  <si>
    <t xml:space="preserve">7   Alternative A4 – Bestandsfahrzeug (LPG / Benzin bivalent)</t>
  </si>
  <si>
    <t xml:space="preserve">Reparaturkosten jetzt (€)</t>
  </si>
  <si>
    <t xml:space="preserve">Kostenvoranschlag eintragen – der Auslöser der Entscheidung</t>
  </si>
  <si>
    <t xml:space="preserve">Verbleibende Restnutzungsdauer (Jahre)</t>
  </si>
  <si>
    <t xml:space="preserve">Danach greift zwingend die Ersatzbeschaffung aus Abschnitt 8</t>
  </si>
  <si>
    <t xml:space="preserve">Verbrauch im Benzinbetrieb (l/100 km)</t>
  </si>
  <si>
    <t xml:space="preserve">Mehrverbrauch im LPG-Betrieb</t>
  </si>
  <si>
    <t xml:space="preserve">LPG hat geringere Energiedichte, typisch +15 bis +25 % Volumenverbrauch</t>
  </si>
  <si>
    <t xml:space="preserve">Verbrauch im LPG-Betrieb (l/100 km)</t>
  </si>
  <si>
    <t xml:space="preserve">Anteil der Fahrleistung im LPG-Betrieb</t>
  </si>
  <si>
    <t xml:space="preserve">Rest läuft über Benzin (Kaltstart, leerer Gastank)</t>
  </si>
  <si>
    <t xml:space="preserve">Kraftstoffkosten (€/100 km)</t>
  </si>
  <si>
    <t xml:space="preserve">Mischkosten aus LPG- und Benzinanteil – das ist der neue Vergleichsmaßstab</t>
  </si>
  <si>
    <t xml:space="preserve">Wartung und erwartete Reparaturen (€/Jahr)</t>
  </si>
  <si>
    <t xml:space="preserve">Bei begrenzter Restlebensdauer hoch ansetzen; Gasanlagenprüfung alle 2 Jahre kommt hinzu</t>
  </si>
  <si>
    <t xml:space="preserve">Verkaufserlös am Ende der Restnutzungsdauer (€)</t>
  </si>
  <si>
    <t xml:space="preserve">Verkaufserlös bei sofortigem Verkauf (€)</t>
  </si>
  <si>
    <t xml:space="preserve">Fließt A1, A2 und A3 in t=0 als Einzahlung zu</t>
  </si>
  <si>
    <t xml:space="preserve">8   Ersatzbeschaffung in Alternative A4</t>
  </si>
  <si>
    <t xml:space="preserve">Ersatzfahrzeug: Preis heute (€)</t>
  </si>
  <si>
    <t xml:space="preserve">Standardmäßig dasselbe E-Auto wie in A1</t>
  </si>
  <si>
    <t xml:space="preserve">Preis zum Beschaffungszeitpunkt (€)</t>
  </si>
  <si>
    <t xml:space="preserve">Restwert des Ersatzfahrzeugs am Horizontende (€)</t>
  </si>
  <si>
    <t xml:space="preserve">Jünger als das Fahrzeug aus A1, daher höherer Restwert</t>
  </si>
  <si>
    <t xml:space="preserve">9   Alternative A5 – gebrauchtes E-Auto kaufen</t>
  </si>
  <si>
    <t xml:space="preserve">VW ID.3 Pro, 3 Jahre (Beispiel)</t>
  </si>
  <si>
    <t xml:space="preserve">Keine Förderung: Gebrauchtwagen sind nicht förderfähig</t>
  </si>
  <si>
    <t xml:space="preserve">Marktpreise 04/2026: ID.3 ab 17.220 €, ID.4 ab 23.000 €, Model 3 ab 25.000 €</t>
  </si>
  <si>
    <t xml:space="preserve">Fahrzeugalter bei Kauf (Jahre)</t>
  </si>
  <si>
    <t xml:space="preserve">Typische Leasingrückläufer sind 3 Jahre alt</t>
  </si>
  <si>
    <t xml:space="preserve">Ältere Modelle meist etwas ineffizienter als aktuelle Baujahre</t>
  </si>
  <si>
    <t xml:space="preserve">Jährliche Wertverlustrate ab Kauf</t>
  </si>
  <si>
    <t xml:space="preserve">Flacher als beim Neuwagen: der steile Teil der Kurve ist bereits durchlaufen (Fraunhofer ISI: 13–14 % p.a. über 5 Jahre, degressiv)</t>
  </si>
  <si>
    <t xml:space="preserve">Meist etwas günstiger als beim Neuwagen</t>
  </si>
  <si>
    <t xml:space="preserve">Reparaturrücklage außerhalb der Garantie (€/Jahr)</t>
  </si>
  <si>
    <t xml:space="preserve">Neuwagengarantie meist abgelaufen; Hochvolt-Reparaturen sind teuer</t>
  </si>
  <si>
    <t xml:space="preserve">Befreiung hängt an der Erstzulassung, max. 10 Jahre – bei Baujahr ab 2016 noch gegeben</t>
  </si>
  <si>
    <t xml:space="preserve">Restliche Batteriegarantie (Jahre)</t>
  </si>
  <si>
    <t xml:space="preserve">Herstellergarantie üblich 8 Jahre / 160.000 km auf mindestens 70 % Restkapazität</t>
  </si>
  <si>
    <t xml:space="preserve">Vor dem Kauf unbedingt ein unabhängiges SoH-Zertifikat (State of Health) verlangen. Der Batteriezustand ist der wertbestimmende Faktor und aus dem Fahrzeugalter allein nicht ableitbar.</t>
  </si>
  <si>
    <t xml:space="preserve">Sunk Costs: Was bisher in das Bestandsfahrzeug geflossen ist, bleibt außen vor. Relevant sind nur künftige Zahlungen, der heutige Marktwert und der Reparaturaufwand.</t>
  </si>
  <si>
    <t xml:space="preserve">Fördersätze E-Auto-Kaufprämie 2026 (BAFA / Bundesumweltministerium)</t>
  </si>
  <si>
    <t xml:space="preserve">Antrag über die Förderzentrale Deutschland seit 19.05.2026, rückwirkend für Erstzulassungen ab 01.01.2026. Mindesthaltedauer 36 Monate. Nur Privatpersonen, Neufahrzeuge Klasse M1, Kauf und Leasing.</t>
  </si>
  <si>
    <t xml:space="preserve">Quelle: ADAC 'E-Auto-Förderung 2026', Stand 15.07.2026; Fördersätze laut Bundesumweltministerium</t>
  </si>
  <si>
    <t xml:space="preserve">Reine Elektrofahrzeuge (BEV / Brennstoffzelle)</t>
  </si>
  <si>
    <t xml:space="preserve">Zu versteuerndes Haushaltseinkommen</t>
  </si>
  <si>
    <t xml:space="preserve">ohne Kind</t>
  </si>
  <si>
    <t xml:space="preserve">1 Kind</t>
  </si>
  <si>
    <t xml:space="preserve">2+ Kinder</t>
  </si>
  <si>
    <t xml:space="preserve">Untergrenze (Hilfsspalte für MATCH)</t>
  </si>
  <si>
    <t xml:space="preserve">bis 45.000 €</t>
  </si>
  <si>
    <t xml:space="preserve">45.001 bis 60.000 €</t>
  </si>
  <si>
    <t xml:space="preserve">60.001 bis 80.000 €</t>
  </si>
  <si>
    <t xml:space="preserve">80.001 bis 85.000 €</t>
  </si>
  <si>
    <t xml:space="preserve">85.001 bis 90.000 €</t>
  </si>
  <si>
    <t xml:space="preserve">über 90.000 €</t>
  </si>
  <si>
    <t xml:space="preserve">Plug-in-Hybride / Range-Extender (bis 30.06.2027, ≤60 g CO2/km oder ≥80 km E-Reichweite)</t>
  </si>
  <si>
    <t xml:space="preserve">Weitere Förderbausteine</t>
  </si>
  <si>
    <t xml:space="preserve">Kfz-Steuerbefreiung reine BEV</t>
  </si>
  <si>
    <t xml:space="preserve">bis 31.12.2035, max. 10 Jahre ab Erstzulassung; Erstzulassung bis Ende 2030</t>
  </si>
  <si>
    <t xml:space="preserve">THG-Quote</t>
  </si>
  <si>
    <t xml:space="preserve">jährlich neu beantragbar, 2026 rd. 250–370 €, für Privatpersonen steuerfrei</t>
  </si>
  <si>
    <t xml:space="preserve">Dienstwagen (0,25-%-Regel)</t>
  </si>
  <si>
    <t xml:space="preserve">Bruttolistenpreisgrenze seit 01.07.2025 auf 100.000 € angehoben</t>
  </si>
  <si>
    <t xml:space="preserve">Turboabschreibung (Betriebsvermögen)</t>
  </si>
  <si>
    <t xml:space="preserve">75 % im 1. Jahr, dann 10/5/5/3/2 %, Anschaffung bis 31.12.2027</t>
  </si>
  <si>
    <t xml:space="preserve">Haushaltseinkommen: Ø der beiden aktuellsten Steuerbescheide (max. 3 Jahre alt); bei Ehe, Lebenspartnerschaft oder eheähnlicher Gemeinschaft werden beide zvE addiert.</t>
  </si>
  <si>
    <t xml:space="preserve">Marktübersicht und Kapitalwertvergleich aller recherchierten E-Autos</t>
  </si>
  <si>
    <t xml:space="preserve">Listenpreise = Basisversion brutto, Stand Februar bis Juli 2026, ohne Herstellerrabatte. Blaue Werte bei Bedarf mit tagesaktuellen Konfiguratordaten überschreiben.</t>
  </si>
  <si>
    <t xml:space="preserve">Segment</t>
  </si>
  <si>
    <t xml:space="preserve">Listenpreis</t>
  </si>
  <si>
    <t xml:space="preserve">WLTP
kWh/100km</t>
  </si>
  <si>
    <t xml:space="preserve">Rechen-
verbrauch</t>
  </si>
  <si>
    <t xml:space="preserve">Reichweite
WLTP km</t>
  </si>
  <si>
    <t xml:space="preserve">Förderung</t>
  </si>
  <si>
    <t xml:space="preserve">Effektivpreis</t>
  </si>
  <si>
    <t xml:space="preserve">Energie
€/100 km</t>
  </si>
  <si>
    <t xml:space="preserve">Energie
€/Jahr</t>
  </si>
  <si>
    <t xml:space="preserve">Quelle</t>
  </si>
  <si>
    <t xml:space="preserve">Dacia Spring 45</t>
  </si>
  <si>
    <t xml:space="preserve">Kleinstwagen</t>
  </si>
  <si>
    <t xml:space="preserve">AutoScout24 02/2026; ARI-Marktübersicht 06/2026</t>
  </si>
  <si>
    <t xml:space="preserve">Leapmotor T03</t>
  </si>
  <si>
    <t xml:space="preserve">AutoScout24 02/2026 (Verbrauch geschätzt)</t>
  </si>
  <si>
    <t xml:space="preserve">Renault Twingo E-Tech</t>
  </si>
  <si>
    <t xml:space="preserve">Citroën ë-C3</t>
  </si>
  <si>
    <t xml:space="preserve">Kleinwagen</t>
  </si>
  <si>
    <t xml:space="preserve">BYD Dolphin Surf</t>
  </si>
  <si>
    <t xml:space="preserve">Hyundai Inster</t>
  </si>
  <si>
    <t xml:space="preserve">AutoScout24 02/2026; ADAC-Test rd. 15,5 real</t>
  </si>
  <si>
    <t xml:space="preserve">Fiat Grande Panda</t>
  </si>
  <si>
    <t xml:space="preserve">VW ID.Polo</t>
  </si>
  <si>
    <t xml:space="preserve">AUTO BILD 07/2026, Marktstart September 2026</t>
  </si>
  <si>
    <t xml:space="preserve">Skoda Epiq</t>
  </si>
  <si>
    <t xml:space="preserve">Kompakt-SUV</t>
  </si>
  <si>
    <t xml:space="preserve">Renault 5 E-Tech</t>
  </si>
  <si>
    <t xml:space="preserve">Opel Frontera Electric</t>
  </si>
  <si>
    <t xml:space="preserve">Hyundai Ioniq 3</t>
  </si>
  <si>
    <t xml:space="preserve">AUTO BILD 07/2026, Marktstart Ende 2026, Preis ca.</t>
  </si>
  <si>
    <t xml:space="preserve">Kia EV3 Air (58 kWh)</t>
  </si>
  <si>
    <t xml:space="preserve">autocolumn 03/2026; ADAC Ecotest 17,1 real</t>
  </si>
  <si>
    <t xml:space="preserve">Skoda Elroq 60</t>
  </si>
  <si>
    <t xml:space="preserve">carwow 08/2026 ('ab unter 38.000 €')</t>
  </si>
  <si>
    <t xml:space="preserve">Kia EV3 LR (81 kWh)</t>
  </si>
  <si>
    <t xml:space="preserve">autocolumn 03/2026</t>
  </si>
  <si>
    <t xml:space="preserve">Rechenhilfen (jährliche Zahlungsweise, geschlossene Form)</t>
  </si>
  <si>
    <t xml:space="preserve">Rentenbarwertfaktor RBF(n)</t>
  </si>
  <si>
    <t xml:space="preserve">konstante Zahlungen über den Horizont</t>
  </si>
  <si>
    <t xml:space="preserve">Rentenbarwertfaktor mit Wachstum RBF_g(n)</t>
  </si>
  <si>
    <t xml:space="preserve">Energiekosten, wachsen mit g</t>
  </si>
  <si>
    <t xml:space="preserve">RBF über die Restnutzungsdauer</t>
  </si>
  <si>
    <t xml:space="preserve">RBF_g über die Restnutzungsdauer</t>
  </si>
  <si>
    <t xml:space="preserve">A4  Barwert Status quo: Bestand + Ersatzbeschaffung</t>
  </si>
  <si>
    <t xml:space="preserve">Referenzwert, gegen den alle Modelle gemessen werden</t>
  </si>
  <si>
    <t xml:space="preserve">A3  Barwert Verbrenner-Neuwagen</t>
  </si>
  <si>
    <t xml:space="preserve">Kapitalwertvergleich: alle Modelle gegen den Status quo</t>
  </si>
  <si>
    <t xml:space="preserve">Ausgewiesen ist der Barwert der Auszahlungen über den Betrachtungshorizont, positiv dargestellt. Je kleiner, desto besser. Alle Modelle mit identischer Versicherungs-, Wartungs- und Restwertannahme.</t>
  </si>
  <si>
    <t xml:space="preserve">Effektivpreis
nach Förderung</t>
  </si>
  <si>
    <t xml:space="preserve">Barwert
KAUF</t>
  </si>
  <si>
    <t xml:space="preserve">Annuität
KAUF</t>
  </si>
  <si>
    <t xml:space="preserve">Vollkosten
€/km</t>
  </si>
  <si>
    <t xml:space="preserve">Barwert
LEASING</t>
  </si>
  <si>
    <t xml:space="preserve">Vorteil Kauf
ggü. Status quo</t>
  </si>
  <si>
    <t xml:space="preserve">Rang
(Kauf)</t>
  </si>
  <si>
    <t xml:space="preserve">A4  Status quo: Bestand reparieren + Ersatz in n Jahren</t>
  </si>
  <si>
    <t xml:space="preserve">A3  Verbrenner-Neuwagen (Referenz)</t>
  </si>
  <si>
    <t xml:space="preserve">Leasing-Barwerte unterstellen einen konstanten Leasingfaktor auf den Listenpreis und eine Vertragskette über den gesamten Horizont. Das Blatt Cashflow rechnet für das ausgewählte Modell monatsgenau inklusive Ratensteigerung im Folgevertrag.</t>
  </si>
  <si>
    <t xml:space="preserve">Nicht förderfähig: Leichtfahrzeuge der Klassen L6e/L7e (Citroën Ami, Microlino) und Gebrauchtwagen. Quelle: ACE, ADAC.</t>
  </si>
  <si>
    <t xml:space="preserve">Gebrauchte Elektroautos – Marktpreise und Kapitalwert</t>
  </si>
  <si>
    <t xml:space="preserve">Keine Förderung möglich. Kfz-Steuerbefreiung und THG-Prämie gelten weiter. Preise Stand April/Mai 2026 von mobile.de, AutoScout24 und autocolumn; Verbrauchswerte teils geschätzt.</t>
  </si>
  <si>
    <t xml:space="preserve">Modell (typ. 3 Jahre alt)</t>
  </si>
  <si>
    <t xml:space="preserve">Marktpreis ab</t>
  </si>
  <si>
    <t xml:space="preserve">Annuität</t>
  </si>
  <si>
    <t xml:space="preserve">Vorteil ggü.
Status quo</t>
  </si>
  <si>
    <t xml:space="preserve">Citroën ë-C4 (2022)</t>
  </si>
  <si>
    <t xml:space="preserve">AutoScout24-Inserat 02/2026</t>
  </si>
  <si>
    <t xml:space="preserve">Peugeot e-208 (2022)</t>
  </si>
  <si>
    <t xml:space="preserve">VW ID.3 Pro (2022/23)</t>
  </si>
  <si>
    <t xml:space="preserve">autocolumn 04/2026, Marktpreise mobile.de</t>
  </si>
  <si>
    <t xml:space="preserve">Fiat 500e 42 kWh (2022)</t>
  </si>
  <si>
    <t xml:space="preserve">Opel Mokka-e 50 kWh (2023)</t>
  </si>
  <si>
    <t xml:space="preserve">Škoda Enyaq (2023)</t>
  </si>
  <si>
    <t xml:space="preserve">autocolumn 04/2026</t>
  </si>
  <si>
    <t xml:space="preserve">VW ID.4 (2023)</t>
  </si>
  <si>
    <t xml:space="preserve">Hyundai Ioniq 5 (2023)</t>
  </si>
  <si>
    <t xml:space="preserve">Cupra Born (2023)</t>
  </si>
  <si>
    <t xml:space="preserve">Audi Q4 e-tron 35 (2023)</t>
  </si>
  <si>
    <t xml:space="preserve">Tesla Model 3 (2023)</t>
  </si>
  <si>
    <t xml:space="preserve">autocolumn 04/2026; ADAC-Test 17,2 real</t>
  </si>
  <si>
    <t xml:space="preserve">VW ID.5 Pure (2025)</t>
  </si>
  <si>
    <t xml:space="preserve">Gerechnet mit den Gebrauchtwagen-Annahmen aus Abschnitt 9: flacherer Wertverlust, höhere Wartung, zusätzliche Reparaturrücklage, keine Förderung. Blaue Preise durch konkrete Angebote ersetzen.</t>
  </si>
  <si>
    <t xml:space="preserve">Marktlage: Der Medianpreis gebrauchter E-Autos fiel im Februar 2026 auf rund 29.700 € und damit erstmals seit 14 Monaten unter 30.000 € – ausgelöst durch die Neuwagenförderung und die Welle an Leasingrückläufern. Quelle: autohaus.de, elektroquatsch.de</t>
  </si>
  <si>
    <t xml:space="preserve">Monatliche Zahlungsreihen der vier Handlungsalternativen</t>
  </si>
  <si>
    <t xml:space="preserve">Negativ = Auszahlung, positiv = Einzahlung (Förderung, THG, Restwert, Verkaufserlös). In A4 findet im Monat der Restnutzungsdauer der Fahrzeugtausch statt.</t>
  </si>
  <si>
    <t xml:space="preserve">Monat</t>
  </si>
  <si>
    <t xml:space="preserve">Diskont-
faktor</t>
  </si>
  <si>
    <t xml:space="preserve">Energie-
preisindex</t>
  </si>
  <si>
    <t xml:space="preserve">A1  E-Auto
kaufen</t>
  </si>
  <si>
    <t xml:space="preserve">A2  E-Auto
leasen</t>
  </si>
  <si>
    <t xml:space="preserve">A3  Verbrenner
neu kaufen</t>
  </si>
  <si>
    <t xml:space="preserve">A4  Bestand + 
Ersatzbeschaffung</t>
  </si>
  <si>
    <t xml:space="preserve">A5  gebrauchtes
E-Auto kaufen</t>
  </si>
  <si>
    <t xml:space="preserve">Kapitalwert</t>
  </si>
  <si>
    <t xml:space="preserve">Barwert</t>
  </si>
  <si>
    <t xml:space="preserve">Nominale Summe (undiskontiert, Kontrolle)</t>
  </si>
  <si>
    <t xml:space="preserve">Konvention: Anschaffung, Wallbox und Verkaufserlös in t=0, laufende Zahlungen nachschüssig zum Monatsende, Restwerte im letzten Monat des Horizonts.</t>
  </si>
  <si>
    <t xml:space="preserve">A4: bis zum Ende der Restnutzungsdauer LPG-/Benzinbetrieb, im Tauschmonat Verkaufserlös des Altwagens abzüglich Anschaffung des Ersatzfahrzeugs, danach E-Auto-Kostenstruktur.</t>
  </si>
  <si>
    <t xml:space="preserve">Die Förderung wird in A4 erst nach dem Tausch ausgezahlt und nur, wenn C21 auf 1 steht.</t>
  </si>
  <si>
    <t xml:space="preserve">Sensitivität: E-Auto sofort kaufen gegen Bestand weiterfahren und später ersetzen</t>
  </si>
  <si>
    <t xml:space="preserve">Ausgewiesen ist der Barwertvorteil des sofortigen Kaufs. Positiv (grün) = jetzt kaufen, negativ (rot) = Altwagen weiterfahren und erst später ersetzen.</t>
  </si>
  <si>
    <t xml:space="preserve">Da nach dem Tausch beide Alternativen identisch sind, hängt die Differenz nur von den Jahren der Restnutzungsdauer ab. Jährliche Zahlungsweise, Abweichung zum Blatt Ergebnis wenige hundert Euro.</t>
  </si>
  <si>
    <t xml:space="preserve">RBF über die Restnutzungsdauer, mit Energiepreissteigerung</t>
  </si>
  <si>
    <t xml:space="preserve">RBF über die Restnutzungsdauer, konstante Zahlungen</t>
  </si>
  <si>
    <t xml:space="preserve">Fahrleistungsunabhängiger Anteil des Barwertvorteils</t>
  </si>
  <si>
    <t xml:space="preserve">Reparatur, Restwerte, Zinsvorteil des Wartens, Förderungstiming, Fixkosten beider Fahrzeuge</t>
  </si>
  <si>
    <t xml:space="preserve">Tabelle 1   Barwertvorteil nach Fahrleistung und Autogaspreis</t>
  </si>
  <si>
    <t xml:space="preserve">Fahrleistung (km/Jahr)</t>
  </si>
  <si>
    <t xml:space="preserve">Tabelle 2   Barwertvorteil nach Fahrleistung und Reparaturkosten</t>
  </si>
  <si>
    <t xml:space="preserve">Reparaturkosten des Bestandsfahrzeugs (€)</t>
  </si>
  <si>
    <t xml:space="preserve">Tabelle 3   Break-even-Werte bei den Annahmen aus Blatt 2</t>
  </si>
  <si>
    <t xml:space="preserve">Energiekostendifferenz je 100 km</t>
  </si>
  <si>
    <t xml:space="preserve">LPG-Mischkosten minus Ladestromkosten – der eigentliche laufende Vorteil</t>
  </si>
  <si>
    <t xml:space="preserve">Barwertvorteil bei aktueller Fahrleistung</t>
  </si>
  <si>
    <t xml:space="preserve">Break-even-Fahrleistung</t>
  </si>
  <si>
    <t xml:space="preserve">km/Jahr, ab der sich der sofortige Kauf rechnet</t>
  </si>
  <si>
    <t xml:space="preserve">Break-even-Reparaturkosten</t>
  </si>
  <si>
    <t xml:space="preserve">Ab dieser Reparaturrechnung lohnt der sofortige Kauf; darunter lieber reparieren</t>
  </si>
  <si>
    <t xml:space="preserve">Was diese Rechnung nicht abbildet</t>
  </si>
  <si>
    <t xml:space="preserve">• Ausfallrisiko: Bei einem Fahrzeug mit zwei Jahren Restlebensdauer ist ein weiterer Defekt Erwartungswert, nicht Ausreißer. Wer das einpreisen will, erhöht C74 oder verkürzt C67.</t>
  </si>
  <si>
    <t xml:space="preserve">• Fördermittelrisiko: Beim Warten steht das 3-Mrd.-Budget möglicherweise nicht mehr zur Verfügung – Zelle C21 auf 0 setzen.</t>
  </si>
  <si>
    <t xml:space="preserve">• Autogaspreis: Ihr Wert von 0,99 €/l liegt unter dem nationalen Schnitt 2026 von rund 1,10 bis 1,22 €/l. Tabelle 1 zeigt, wie stark das Ergebnis daran hängt.</t>
  </si>
  <si>
    <t xml:space="preserve">• Gasanlage: wiederkehrende Gasanlagenprüfung und mögliche Reparaturen der LPG-Anlage in C74 berücksichtigen.</t>
  </si>
  <si>
    <t xml:space="preserve">Tabelle 4   Barwertvorteil nach unterstellter jährlicher Wertverlustrate</t>
  </si>
  <si>
    <t xml:space="preserve">Der Wertverlust wirkt gegenläufig: er trifft das sofort gekaufte Fahrzeug sechs Jahre lang, das Ersatzfahrzeug in A4 nur vier. Je steiler der Wertverlust, desto attraktiver wird das Warten.</t>
  </si>
  <si>
    <t xml:space="preserve">Fahrleistungs- und restwertunabhängiger Anteil</t>
  </si>
  <si>
    <t xml:space="preserve">Jährliche Wertverlustrate</t>
  </si>
  <si>
    <t xml:space="preserve">Barwertvorteil sofortiger Kauf</t>
  </si>
  <si>
    <t xml:space="preserve">Hinweis zur Modellierung: Die geometrische Abschreibung mit konstanter Rate bildet den besonders steilen Wertverlust im ersten Jahr nur unvollständig ab. Das begünstigt tendenziell den sofortigen Kauf. Wer das korrigieren will, setzt die Rate am oberen Rand der Tabelle an.</t>
  </si>
  <si>
    <t xml:space="preserve">Ergebnis der Kapitalwertrechnung</t>
  </si>
  <si>
    <t xml:space="preserve">Kostenvergleich: vorteilhaft ist die Alternative mit dem niedrigsten Barwert der Auszahlungen.</t>
  </si>
  <si>
    <t xml:space="preserve">A1  E-Auto
kaufen (neu)</t>
  </si>
  <si>
    <t xml:space="preserve">A3  Verbrenner
neu</t>
  </si>
  <si>
    <t xml:space="preserve">A4  Bestand
+ Ersatz</t>
  </si>
  <si>
    <t xml:space="preserve">A5  E-Auto
gebraucht</t>
  </si>
  <si>
    <t xml:space="preserve">Kapitalwert der Zahlungsreihe</t>
  </si>
  <si>
    <t xml:space="preserve">Direkt aus dem Blatt Cashflow</t>
  </si>
  <si>
    <t xml:space="preserve">Barwert der Auszahlungen (positiv dargestellt)</t>
  </si>
  <si>
    <t xml:space="preserve">Entscheidungsgröße: je kleiner, desto besser</t>
  </si>
  <si>
    <t xml:space="preserve">Kapitalwiedergewinnungsfaktor</t>
  </si>
  <si>
    <t xml:space="preserve">WGF = i·(1+i)^n / ((1+i)^n − 1)</t>
  </si>
  <si>
    <t xml:space="preserve">Annuität / äquivalente Jahreskosten</t>
  </si>
  <si>
    <t xml:space="preserve">Vollkosten je Kilometer</t>
  </si>
  <si>
    <t xml:space="preserve">Vorteil gegenüber A4 (Status quo)</t>
  </si>
  <si>
    <t xml:space="preserve">Positiv = günstiger als reparieren und später ersetzen</t>
  </si>
  <si>
    <t xml:space="preserve">Vorteilhafteste Alternative</t>
  </si>
  <si>
    <t xml:space="preserve">Vorsprung vor der zweitbesten Alternative</t>
  </si>
  <si>
    <t xml:space="preserve">Entscheidungsrelevant?</t>
  </si>
  <si>
    <t xml:space="preserve">Schwelle 3 % des Barwerts; darunter entscheiden Nutzwertkriterien.</t>
  </si>
  <si>
    <t xml:space="preserve">Neu gegen gebraucht: worin der Unterschied besteht</t>
  </si>
  <si>
    <t xml:space="preserve">• Der Neuwagen bekommt bis zu 6.000 € Förderung, trägt dafür den steilsten Teil der Wertverlustkurve.</t>
  </si>
  <si>
    <t xml:space="preserve">• Der Gebrauchte hat diesen Teil hinter sich, bekommt aber keinen Cent Zuschuss.</t>
  </si>
  <si>
    <t xml:space="preserve">• Genau diese beiden Effekte hebt die Förderung 2026 gegeneinander auf – deshalb liegen die Barwerte oft nah beieinander.</t>
  </si>
  <si>
    <t xml:space="preserve">• Die laufenden Kosten sind nahezu identisch; Unterschiede entstehen über Verbrauch, Garantie und Reparaturrisiko.</t>
  </si>
  <si>
    <t xml:space="preserve">• Kfz-Steuerbefreiung und THG-Prämie gelten für den Gebrauchten genauso – die Befreiung hängt an der Erstzulassung.</t>
  </si>
  <si>
    <t xml:space="preserve">Aufschlüsselung Alternative A1 (E-Auto neu kaufen)</t>
  </si>
  <si>
    <t xml:space="preserve">Anschaffung inkl. Wallbox (t=0)</t>
  </si>
  <si>
    <t xml:space="preserve">Verkaufserlös Altfahrzeug (t=0)</t>
  </si>
  <si>
    <t xml:space="preserve">Barwert der Förderung</t>
  </si>
  <si>
    <t xml:space="preserve">Barwert Ladestrom</t>
  </si>
  <si>
    <t xml:space="preserve">Barwert Versicherung, Wartung, Steuer</t>
  </si>
  <si>
    <t xml:space="preserve">Barwert THG-Prämien</t>
  </si>
  <si>
    <t xml:space="preserve">Barwert Restwert am Horizontende</t>
  </si>
  <si>
    <t xml:space="preserve">Summe (Kontrolle gegen C6)</t>
  </si>
  <si>
    <t xml:space="preserve">muss 0,00 € sein</t>
  </si>
</sst>
</file>

<file path=xl/styles.xml><?xml version="1.0" encoding="utf-8"?>
<styleSheet xmlns="http://schemas.openxmlformats.org/spreadsheetml/2006/main">
  <numFmts count="12">
    <numFmt numFmtId="164" formatCode="General"/>
    <numFmt numFmtId="165" formatCode="#,##0"/>
    <numFmt numFmtId="166" formatCode="0.0%"/>
    <numFmt numFmtId="167" formatCode="0.00%"/>
    <numFmt numFmtId="168" formatCode="#,##0&quot; €&quot;;\(#,##0&quot; €)&quot;;\-"/>
    <numFmt numFmtId="169" formatCode="#,##0.00&quot; €&quot;;\(#,##0.00&quot; €)&quot;;\-"/>
    <numFmt numFmtId="170" formatCode="#,##0.00"/>
    <numFmt numFmtId="171" formatCode="0.00"/>
    <numFmt numFmtId="172" formatCode="#,##0&quot; €&quot;;\(#,##0&quot; €)&quot;;\-"/>
    <numFmt numFmtId="173" formatCode="0.0000"/>
    <numFmt numFmtId="174" formatCode="#,##0.00&quot; €&quot;;\(#,##0.00&quot; €)&quot;;\-"/>
    <numFmt numFmtId="175" formatCode="0.00000"/>
  </numFmts>
  <fonts count="12">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i val="true"/>
      <sz val="8"/>
      <color rgb="FF595959"/>
      <name val="Arial"/>
      <family val="0"/>
      <charset val="1"/>
    </font>
    <font>
      <b val="true"/>
      <sz val="11"/>
      <color rgb="FF1F3864"/>
      <name val="Arial"/>
      <family val="0"/>
      <charset val="1"/>
    </font>
    <font>
      <sz val="10"/>
      <color rgb="FF0000FF"/>
      <name val="Arial"/>
      <family val="0"/>
      <charset val="1"/>
    </font>
    <font>
      <sz val="10"/>
      <name val="Arial"/>
      <family val="0"/>
      <charset val="1"/>
    </font>
    <font>
      <sz val="10"/>
      <color rgb="FF008000"/>
      <name val="Arial"/>
      <family val="0"/>
      <charset val="1"/>
    </font>
    <font>
      <b val="true"/>
      <sz val="10"/>
      <name val="Arial"/>
      <family val="0"/>
      <charset val="1"/>
    </font>
    <font>
      <b val="true"/>
      <sz val="10"/>
      <color rgb="FF0000FF"/>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D9E1F2"/>
        <bgColor rgb="FFF2F2F2"/>
      </patternFill>
    </fill>
    <fill>
      <patternFill patternType="solid">
        <fgColor rgb="FFF2F2F2"/>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7" fillId="2"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6" fontId="7" fillId="2"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8" fontId="7" fillId="2" borderId="1" xfId="0" applyFont="true" applyBorder="true" applyAlignment="tru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bottom" textRotation="0" wrapText="false" indent="0" shrinkToFit="false"/>
      <protection locked="true" hidden="false"/>
    </xf>
    <xf numFmtId="169" fontId="7" fillId="2" borderId="1" xfId="0" applyFont="true" applyBorder="true" applyAlignment="true" applyProtection="false">
      <alignment horizontal="general" vertical="bottom" textRotation="0" wrapText="false" indent="0" shrinkToFit="false"/>
      <protection locked="true" hidden="false"/>
    </xf>
    <xf numFmtId="169" fontId="7" fillId="0" borderId="1" xfId="0" applyFont="true" applyBorder="true" applyAlignment="true" applyProtection="false">
      <alignment horizontal="general" vertical="bottom" textRotation="0" wrapText="false" indent="0" shrinkToFit="false"/>
      <protection locked="true" hidden="false"/>
    </xf>
    <xf numFmtId="169" fontId="8"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70" fontId="7" fillId="0" borderId="1" xfId="0" applyFont="true" applyBorder="true" applyAlignment="true" applyProtection="false">
      <alignment horizontal="general" vertical="bottom" textRotation="0" wrapText="false" indent="0" shrinkToFit="false"/>
      <protection locked="true" hidden="false"/>
    </xf>
    <xf numFmtId="171" fontId="7" fillId="0" borderId="1" xfId="0" applyFont="true" applyBorder="true" applyAlignment="true" applyProtection="false">
      <alignment horizontal="general" vertical="bottom" textRotation="0" wrapText="false" indent="0" shrinkToFit="false"/>
      <protection locked="true" hidden="false"/>
    </xf>
    <xf numFmtId="170" fontId="8" fillId="0" borderId="1" xfId="0" applyFont="true" applyBorder="tru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70" fontId="7" fillId="2" borderId="1" xfId="0" applyFont="true" applyBorder="true" applyAlignment="true" applyProtection="false">
      <alignment horizontal="general" vertical="bottom" textRotation="0" wrapText="false" indent="0" shrinkToFit="false"/>
      <protection locked="true" hidden="false"/>
    </xf>
    <xf numFmtId="171" fontId="7" fillId="2"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72" fontId="7" fillId="2"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6" fontId="7" fillId="2" borderId="1" xfId="0" applyFont="true" applyBorder="true" applyAlignment="false" applyProtection="false">
      <alignment horizontal="general" vertical="bottom" textRotation="0" wrapText="false" indent="0" shrinkToFit="false"/>
      <protection locked="true" hidden="false"/>
    </xf>
    <xf numFmtId="172" fontId="8"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73" fontId="8" fillId="0" borderId="1" xfId="0" applyFont="true" applyBorder="true" applyAlignment="true" applyProtection="false">
      <alignment horizontal="general" vertical="bottom" textRotation="0" wrapText="false" indent="0" shrinkToFit="false"/>
      <protection locked="true" hidden="false"/>
    </xf>
    <xf numFmtId="168" fontId="8" fillId="2" borderId="1" xfId="0" applyFont="true" applyBorder="tru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8" fontId="10" fillId="2" borderId="1" xfId="0" applyFont="true" applyBorder="true" applyAlignment="true" applyProtection="false">
      <alignment horizontal="general" vertical="bottom" textRotation="0" wrapText="false" indent="0" shrinkToFit="false"/>
      <protection locked="true" hidden="false"/>
    </xf>
    <xf numFmtId="168" fontId="10" fillId="4" borderId="1" xfId="0" applyFont="true" applyBorder="true" applyAlignment="true" applyProtection="false">
      <alignment horizontal="general" vertical="bottom" textRotation="0" wrapText="false" indent="0" shrinkToFit="false"/>
      <protection locked="true" hidden="false"/>
    </xf>
    <xf numFmtId="169" fontId="10" fillId="4" borderId="1" xfId="0" applyFont="true" applyBorder="true" applyAlignment="true" applyProtection="false">
      <alignment horizontal="general" vertical="bottom" textRotation="0" wrapText="false" indent="0" shrinkToFit="false"/>
      <protection locked="true" hidden="false"/>
    </xf>
    <xf numFmtId="168" fontId="8" fillId="4" borderId="1"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74" fontId="8" fillId="0" borderId="1" xfId="0" applyFont="true" applyBorder="true" applyAlignment="false" applyProtection="false">
      <alignment horizontal="general" vertical="bottom" textRotation="0" wrapText="false" indent="0" shrinkToFit="false"/>
      <protection locked="true" hidden="false"/>
    </xf>
    <xf numFmtId="165" fontId="8" fillId="4" borderId="0" xfId="0" applyFont="true" applyBorder="false" applyAlignment="true" applyProtection="false">
      <alignment horizontal="general" vertical="bottom" textRotation="0" wrapText="false" indent="0" shrinkToFit="false"/>
      <protection locked="true" hidden="false"/>
    </xf>
    <xf numFmtId="173" fontId="8" fillId="4" borderId="0" xfId="0" applyFont="true" applyBorder="false" applyAlignment="true" applyProtection="false">
      <alignment horizontal="general" vertical="bottom" textRotation="0" wrapText="false" indent="0" shrinkToFit="false"/>
      <protection locked="true" hidden="false"/>
    </xf>
    <xf numFmtId="168" fontId="8" fillId="4" borderId="0" xfId="0" applyFont="true" applyBorder="false" applyAlignment="true" applyProtection="false">
      <alignment horizontal="general" vertical="bottom" textRotation="0" wrapText="false" indent="0" shrinkToFit="false"/>
      <protection locked="true" hidden="false"/>
    </xf>
    <xf numFmtId="172" fontId="8" fillId="4" borderId="0" xfId="0" applyFont="true" applyBorder="false" applyAlignment="false" applyProtection="false">
      <alignment horizontal="general" vertical="bottom" textRotation="0" wrapText="false" indent="0" shrinkToFit="false"/>
      <protection locked="true" hidden="false"/>
    </xf>
    <xf numFmtId="173" fontId="8"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72" fontId="10" fillId="2"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bottom" textRotation="0" wrapText="false" indent="0" shrinkToFit="false"/>
      <protection locked="true" hidden="false"/>
    </xf>
    <xf numFmtId="169" fontId="7" fillId="3" borderId="1" xfId="0" applyFont="true" applyBorder="true" applyAlignment="true" applyProtection="false">
      <alignment horizontal="center" vertical="bottom" textRotation="0" wrapText="false" indent="0" shrinkToFit="false"/>
      <protection locked="true" hidden="false"/>
    </xf>
    <xf numFmtId="165" fontId="7" fillId="3" borderId="1" xfId="0" applyFont="true" applyBorder="true" applyAlignment="true" applyProtection="false">
      <alignment horizontal="general" vertical="bottom" textRotation="0" wrapText="false" indent="0" shrinkToFit="false"/>
      <protection locked="true" hidden="false"/>
    </xf>
    <xf numFmtId="168" fontId="7" fillId="3" borderId="1" xfId="0" applyFont="true" applyBorder="true" applyAlignment="true" applyProtection="false">
      <alignment horizontal="center"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5" fontId="10" fillId="2" borderId="0" xfId="0" applyFont="true" applyBorder="fals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72" fontId="9"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72" fontId="10" fillId="2" borderId="1" xfId="0" applyFont="true" applyBorder="true" applyAlignment="false" applyProtection="false">
      <alignment horizontal="general" vertical="bottom" textRotation="0" wrapText="false" indent="0" shrinkToFit="false"/>
      <protection locked="true" hidden="false"/>
    </xf>
    <xf numFmtId="175" fontId="8" fillId="0" borderId="0" xfId="0" applyFont="true" applyBorder="false" applyAlignment="false" applyProtection="false">
      <alignment horizontal="general" vertical="bottom" textRotation="0" wrapText="false" indent="0" shrinkToFit="false"/>
      <protection locked="true" hidden="false"/>
    </xf>
    <xf numFmtId="172" fontId="10"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7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08"/>
  </cols>
  <sheetData>
    <row r="2" customFormat="false" ht="15.75" hidden="false" customHeight="true" outlineLevel="0" collapsed="false">
      <c r="B2" s="2" t="s">
        <v>0</v>
      </c>
    </row>
    <row r="3" customFormat="false" ht="15" hidden="false" customHeight="true" outlineLevel="0" collapsed="false">
      <c r="B3" s="3" t="s">
        <v>1</v>
      </c>
    </row>
    <row r="5" customFormat="false" ht="15" hidden="false" customHeight="true" outlineLevel="0" collapsed="false">
      <c r="B5" s="4" t="s">
        <v>2</v>
      </c>
    </row>
    <row r="6" customFormat="false" ht="15" hidden="false" customHeight="true" outlineLevel="0" collapsed="false">
      <c r="B6" s="5" t="s">
        <v>3</v>
      </c>
    </row>
    <row r="7" customFormat="false" ht="15" hidden="false" customHeight="true" outlineLevel="0" collapsed="false">
      <c r="B7" s="6" t="s">
        <v>4</v>
      </c>
    </row>
    <row r="9" customFormat="false" ht="15" hidden="false" customHeight="true" outlineLevel="0" collapsed="false">
      <c r="B9" s="4" t="s">
        <v>5</v>
      </c>
    </row>
    <row r="10" customFormat="false" ht="15" hidden="false" customHeight="true" outlineLevel="0" collapsed="false">
      <c r="B10" s="6" t="s">
        <v>6</v>
      </c>
    </row>
    <row r="11" customFormat="false" ht="15" hidden="false" customHeight="true" outlineLevel="0" collapsed="false">
      <c r="B11" s="6" t="s">
        <v>7</v>
      </c>
    </row>
    <row r="12" customFormat="false" ht="15" hidden="false" customHeight="true" outlineLevel="0" collapsed="false">
      <c r="B12" s="6" t="s">
        <v>8</v>
      </c>
    </row>
    <row r="13" customFormat="false" ht="15" hidden="false" customHeight="true" outlineLevel="0" collapsed="false">
      <c r="B13" s="6" t="s">
        <v>9</v>
      </c>
    </row>
    <row r="15" customFormat="false" ht="15" hidden="false" customHeight="true" outlineLevel="0" collapsed="false">
      <c r="B15" s="4" t="s">
        <v>10</v>
      </c>
    </row>
    <row r="16" customFormat="false" ht="15" hidden="false" customHeight="true" outlineLevel="0" collapsed="false">
      <c r="B16" s="6" t="s">
        <v>11</v>
      </c>
    </row>
    <row r="17" customFormat="false" ht="15" hidden="false" customHeight="true" outlineLevel="0" collapsed="false">
      <c r="B17" s="6" t="s">
        <v>12</v>
      </c>
    </row>
    <row r="18" customFormat="false" ht="15" hidden="false" customHeight="true" outlineLevel="0" collapsed="false">
      <c r="B18" s="6" t="s">
        <v>13</v>
      </c>
    </row>
    <row r="19" customFormat="false" ht="15" hidden="false" customHeight="true" outlineLevel="0" collapsed="false">
      <c r="B19" s="6" t="s">
        <v>14</v>
      </c>
    </row>
    <row r="20" customFormat="false" ht="15" hidden="false" customHeight="true" outlineLevel="0" collapsed="false">
      <c r="B20" s="6" t="s">
        <v>15</v>
      </c>
    </row>
    <row r="22" customFormat="false" ht="15" hidden="false" customHeight="true" outlineLevel="0" collapsed="false">
      <c r="B22" s="4" t="s">
        <v>16</v>
      </c>
    </row>
    <row r="23" customFormat="false" ht="15" hidden="false" customHeight="true" outlineLevel="0" collapsed="false">
      <c r="B23" s="6" t="s">
        <v>17</v>
      </c>
    </row>
    <row r="24" customFormat="false" ht="15" hidden="false" customHeight="true" outlineLevel="0" collapsed="false">
      <c r="B24" s="6" t="s">
        <v>18</v>
      </c>
    </row>
    <row r="25" customFormat="false" ht="15" hidden="false" customHeight="true" outlineLevel="0" collapsed="false">
      <c r="B25" s="6" t="s">
        <v>19</v>
      </c>
    </row>
    <row r="26" customFormat="false" ht="15" hidden="false" customHeight="true" outlineLevel="0" collapsed="false">
      <c r="B26" s="6" t="s">
        <v>20</v>
      </c>
    </row>
    <row r="27" customFormat="false" ht="15" hidden="false" customHeight="true" outlineLevel="0" collapsed="false">
      <c r="B27" s="6" t="s">
        <v>21</v>
      </c>
    </row>
    <row r="28" customFormat="false" ht="15" hidden="false" customHeight="true" outlineLevel="0" collapsed="false">
      <c r="B28" s="6" t="s">
        <v>22</v>
      </c>
    </row>
    <row r="29" customFormat="false" ht="15" hidden="false" customHeight="true" outlineLevel="0" collapsed="false">
      <c r="B29" s="6" t="s">
        <v>23</v>
      </c>
    </row>
    <row r="31" customFormat="false" ht="15" hidden="false" customHeight="true" outlineLevel="0" collapsed="false">
      <c r="B31" s="4" t="s">
        <v>24</v>
      </c>
    </row>
    <row r="32" customFormat="false" ht="15" hidden="false" customHeight="true" outlineLevel="0" collapsed="false">
      <c r="B32" s="6"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50"/>
    <col collapsed="false" customWidth="true" hidden="false" outlineLevel="0" max="3" min="3" style="1" width="16"/>
    <col collapsed="false" customWidth="true" hidden="false" outlineLevel="0" max="4" min="4" style="1" width="74"/>
  </cols>
  <sheetData>
    <row r="2" customFormat="false" ht="15.75" hidden="false" customHeight="true" outlineLevel="0" collapsed="false">
      <c r="B2" s="2" t="s">
        <v>26</v>
      </c>
    </row>
    <row r="3" customFormat="false" ht="15" hidden="false" customHeight="true" outlineLevel="0" collapsed="false">
      <c r="B3" s="3" t="s">
        <v>27</v>
      </c>
    </row>
    <row r="5" customFormat="false" ht="15" hidden="false" customHeight="true" outlineLevel="0" collapsed="false">
      <c r="B5" s="4" t="s">
        <v>28</v>
      </c>
    </row>
    <row r="6" customFormat="false" ht="15" hidden="false" customHeight="true" outlineLevel="0" collapsed="false">
      <c r="B6" s="6" t="s">
        <v>29</v>
      </c>
      <c r="C6" s="7" t="n">
        <v>12000</v>
      </c>
      <c r="D6" s="3" t="s">
        <v>30</v>
      </c>
    </row>
    <row r="7" customFormat="false" ht="15" hidden="false" customHeight="true" outlineLevel="0" collapsed="false">
      <c r="B7" s="6" t="s">
        <v>31</v>
      </c>
      <c r="C7" s="8" t="n">
        <v>6</v>
      </c>
      <c r="D7" s="3" t="s">
        <v>32</v>
      </c>
    </row>
    <row r="8" customFormat="false" ht="15" hidden="false" customHeight="true" outlineLevel="0" collapsed="false">
      <c r="B8" s="6" t="s">
        <v>33</v>
      </c>
      <c r="C8" s="9" t="n">
        <f aca="false">C7*12</f>
        <v>72</v>
      </c>
      <c r="D8" s="3"/>
    </row>
    <row r="9" customFormat="false" ht="15" hidden="false" customHeight="true" outlineLevel="0" collapsed="false">
      <c r="B9" s="6" t="s">
        <v>34</v>
      </c>
      <c r="C9" s="10" t="n">
        <v>0.03</v>
      </c>
      <c r="D9" s="3" t="s">
        <v>35</v>
      </c>
    </row>
    <row r="10" customFormat="false" ht="15" hidden="false" customHeight="true" outlineLevel="0" collapsed="false">
      <c r="B10" s="6" t="s">
        <v>36</v>
      </c>
      <c r="C10" s="11" t="n">
        <f aca="false">(1+C9)^(1/12)-1</f>
        <v>0.00246626977230369</v>
      </c>
      <c r="D10" s="3" t="s">
        <v>37</v>
      </c>
    </row>
    <row r="11" customFormat="false" ht="15" hidden="false" customHeight="true" outlineLevel="0" collapsed="false">
      <c r="B11" s="6" t="s">
        <v>38</v>
      </c>
      <c r="C11" s="12" t="n">
        <v>0.02</v>
      </c>
      <c r="D11" s="3" t="s">
        <v>39</v>
      </c>
    </row>
    <row r="12" customFormat="false" ht="15" hidden="false" customHeight="true" outlineLevel="0" collapsed="false">
      <c r="B12" s="6" t="s">
        <v>40</v>
      </c>
      <c r="C12" s="12" t="n">
        <v>0.015</v>
      </c>
      <c r="D12" s="3" t="s">
        <v>41</v>
      </c>
    </row>
    <row r="14" customFormat="false" ht="15" hidden="false" customHeight="true" outlineLevel="0" collapsed="false">
      <c r="B14" s="4" t="s">
        <v>42</v>
      </c>
    </row>
    <row r="15" customFormat="false" ht="15" hidden="false" customHeight="true" outlineLevel="0" collapsed="false">
      <c r="B15" s="6" t="s">
        <v>43</v>
      </c>
      <c r="C15" s="13" t="n">
        <v>55000</v>
      </c>
      <c r="D15" s="3" t="s">
        <v>44</v>
      </c>
    </row>
    <row r="16" customFormat="false" ht="15" hidden="false" customHeight="true" outlineLevel="0" collapsed="false">
      <c r="B16" s="6" t="s">
        <v>45</v>
      </c>
      <c r="C16" s="8" t="n">
        <v>0</v>
      </c>
      <c r="D16" s="3" t="s">
        <v>46</v>
      </c>
    </row>
    <row r="17" customFormat="false" ht="15" hidden="false" customHeight="true" outlineLevel="0" collapsed="false">
      <c r="B17" s="6" t="s">
        <v>47</v>
      </c>
      <c r="C17" s="14" t="n">
        <f aca="false">INDEX(Foerdermatrix!C8:E13,MATCH(C15,Foerdermatrix!H8:H13,1),MIN(C16,2)+1)</f>
        <v>4000</v>
      </c>
      <c r="D17" s="3" t="s">
        <v>48</v>
      </c>
    </row>
    <row r="18" customFormat="false" ht="15" hidden="false" customHeight="true" outlineLevel="0" collapsed="false">
      <c r="B18" s="6" t="s">
        <v>49</v>
      </c>
      <c r="C18" s="14" t="n">
        <f aca="false">INDEX(Foerdermatrix!C17:E22,MATCH(C15,Foerdermatrix!H8:H13,1),MIN(C16,2)+1)</f>
        <v>2500</v>
      </c>
      <c r="D18" s="3"/>
    </row>
    <row r="19" customFormat="false" ht="15" hidden="false" customHeight="true" outlineLevel="0" collapsed="false">
      <c r="B19" s="6" t="s">
        <v>50</v>
      </c>
      <c r="C19" s="8" t="n">
        <v>4</v>
      </c>
      <c r="D19" s="3" t="s">
        <v>51</v>
      </c>
    </row>
    <row r="20" customFormat="false" ht="15" hidden="false" customHeight="true" outlineLevel="0" collapsed="false">
      <c r="B20" s="6" t="s">
        <v>52</v>
      </c>
      <c r="C20" s="15" t="n">
        <v>300</v>
      </c>
      <c r="D20" s="3" t="s">
        <v>53</v>
      </c>
    </row>
    <row r="21" customFormat="false" ht="15" hidden="false" customHeight="true" outlineLevel="0" collapsed="false">
      <c r="B21" s="6" t="s">
        <v>54</v>
      </c>
      <c r="C21" s="7" t="n">
        <v>1</v>
      </c>
      <c r="D21" s="3" t="s">
        <v>55</v>
      </c>
    </row>
    <row r="23" customFormat="false" ht="15" hidden="false" customHeight="true" outlineLevel="0" collapsed="false">
      <c r="B23" s="4" t="s">
        <v>56</v>
      </c>
    </row>
    <row r="24" customFormat="false" ht="15" hidden="false" customHeight="true" outlineLevel="0" collapsed="false">
      <c r="B24" s="6" t="s">
        <v>57</v>
      </c>
      <c r="C24" s="16" t="n">
        <v>0.3</v>
      </c>
      <c r="D24" s="3" t="s">
        <v>58</v>
      </c>
    </row>
    <row r="25" customFormat="false" ht="15" hidden="false" customHeight="true" outlineLevel="0" collapsed="false">
      <c r="B25" s="6" t="s">
        <v>59</v>
      </c>
      <c r="C25" s="10" t="n">
        <v>0.8</v>
      </c>
      <c r="D25" s="3" t="s">
        <v>60</v>
      </c>
    </row>
    <row r="26" customFormat="false" ht="15" hidden="false" customHeight="true" outlineLevel="0" collapsed="false">
      <c r="B26" s="6" t="s">
        <v>61</v>
      </c>
      <c r="C26" s="17" t="n">
        <v>0.55</v>
      </c>
      <c r="D26" s="3" t="s">
        <v>62</v>
      </c>
    </row>
    <row r="27" customFormat="false" ht="15" hidden="false" customHeight="true" outlineLevel="0" collapsed="false">
      <c r="B27" s="6" t="s">
        <v>63</v>
      </c>
      <c r="C27" s="18" t="n">
        <f aca="false">C24*C25+C26*(1-C25)</f>
        <v>0.35</v>
      </c>
      <c r="D27" s="3"/>
    </row>
    <row r="28" customFormat="false" ht="15" hidden="false" customHeight="true" outlineLevel="0" collapsed="false">
      <c r="B28" s="6" t="s">
        <v>64</v>
      </c>
      <c r="C28" s="16" t="n">
        <v>2.1</v>
      </c>
      <c r="D28" s="3" t="s">
        <v>65</v>
      </c>
    </row>
    <row r="29" customFormat="false" ht="15" hidden="false" customHeight="true" outlineLevel="0" collapsed="false">
      <c r="B29" s="6" t="s">
        <v>66</v>
      </c>
      <c r="C29" s="16" t="n">
        <v>0.99</v>
      </c>
      <c r="D29" s="3" t="s">
        <v>67</v>
      </c>
    </row>
    <row r="31" customFormat="false" ht="15" hidden="false" customHeight="true" outlineLevel="0" collapsed="false">
      <c r="B31" s="4" t="s">
        <v>68</v>
      </c>
    </row>
    <row r="32" customFormat="false" ht="15" hidden="false" customHeight="true" outlineLevel="0" collapsed="false">
      <c r="B32" s="6" t="s">
        <v>69</v>
      </c>
      <c r="C32" s="19" t="s">
        <v>70</v>
      </c>
      <c r="D32" s="3" t="s">
        <v>71</v>
      </c>
    </row>
    <row r="33" customFormat="false" ht="15" hidden="false" customHeight="true" outlineLevel="0" collapsed="false">
      <c r="B33" s="6" t="s">
        <v>72</v>
      </c>
      <c r="C33" s="15" t="n">
        <v>23900</v>
      </c>
      <c r="D33" s="3" t="s">
        <v>73</v>
      </c>
    </row>
    <row r="34" customFormat="false" ht="15" hidden="false" customHeight="true" outlineLevel="0" collapsed="false">
      <c r="B34" s="6" t="s">
        <v>74</v>
      </c>
      <c r="C34" s="20" t="n">
        <v>15.1</v>
      </c>
      <c r="D34" s="3" t="s">
        <v>75</v>
      </c>
    </row>
    <row r="35" customFormat="false" ht="15" hidden="false" customHeight="true" outlineLevel="0" collapsed="false">
      <c r="B35" s="6" t="s">
        <v>76</v>
      </c>
      <c r="C35" s="21" t="n">
        <v>1.18</v>
      </c>
      <c r="D35" s="3" t="s">
        <v>77</v>
      </c>
    </row>
    <row r="36" customFormat="false" ht="15" hidden="false" customHeight="true" outlineLevel="0" collapsed="false">
      <c r="B36" s="6" t="s">
        <v>78</v>
      </c>
      <c r="C36" s="22" t="n">
        <f aca="false">C34*C35</f>
        <v>17.818</v>
      </c>
      <c r="D36" s="3"/>
    </row>
    <row r="37" customFormat="false" ht="15" hidden="false" customHeight="true" outlineLevel="0" collapsed="false">
      <c r="B37" s="6" t="s">
        <v>79</v>
      </c>
      <c r="C37" s="10" t="n">
        <v>0.15</v>
      </c>
      <c r="D37" s="3" t="s">
        <v>80</v>
      </c>
    </row>
    <row r="38" customFormat="false" ht="15" hidden="false" customHeight="true" outlineLevel="0" collapsed="false">
      <c r="B38" s="6" t="s">
        <v>81</v>
      </c>
      <c r="C38" s="23" t="n">
        <f aca="false">C33*(1-C37)^C7</f>
        <v>9013.8734234375</v>
      </c>
      <c r="D38" s="3"/>
    </row>
    <row r="39" customFormat="false" ht="15" hidden="false" customHeight="true" outlineLevel="0" collapsed="false">
      <c r="B39" s="6" t="s">
        <v>82</v>
      </c>
      <c r="C39" s="15" t="n">
        <v>750</v>
      </c>
      <c r="D39" s="3" t="s">
        <v>83</v>
      </c>
    </row>
    <row r="40" customFormat="false" ht="15" hidden="false" customHeight="true" outlineLevel="0" collapsed="false">
      <c r="B40" s="6" t="s">
        <v>84</v>
      </c>
      <c r="C40" s="15" t="n">
        <v>300</v>
      </c>
      <c r="D40" s="3" t="s">
        <v>85</v>
      </c>
    </row>
    <row r="41" customFormat="false" ht="15" hidden="false" customHeight="true" outlineLevel="0" collapsed="false">
      <c r="B41" s="6" t="s">
        <v>86</v>
      </c>
      <c r="C41" s="15" t="n">
        <v>1500</v>
      </c>
      <c r="D41" s="3" t="s">
        <v>87</v>
      </c>
    </row>
    <row r="42" customFormat="false" ht="15" hidden="false" customHeight="true" outlineLevel="0" collapsed="false">
      <c r="B42" s="6" t="s">
        <v>88</v>
      </c>
      <c r="C42" s="23" t="n">
        <v>0</v>
      </c>
      <c r="D42" s="3" t="s">
        <v>89</v>
      </c>
    </row>
    <row r="44" customFormat="false" ht="15" hidden="false" customHeight="true" outlineLevel="0" collapsed="false">
      <c r="B44" s="4" t="s">
        <v>90</v>
      </c>
    </row>
    <row r="45" customFormat="false" ht="15" hidden="false" customHeight="true" outlineLevel="0" collapsed="false">
      <c r="B45" s="6" t="s">
        <v>91</v>
      </c>
      <c r="C45" s="24" t="n">
        <v>1</v>
      </c>
      <c r="D45" s="3" t="s">
        <v>92</v>
      </c>
    </row>
    <row r="46" customFormat="false" ht="15" hidden="false" customHeight="true" outlineLevel="0" collapsed="false">
      <c r="B46" s="6" t="s">
        <v>93</v>
      </c>
      <c r="C46" s="23" t="n">
        <f aca="false">C33*C45/100</f>
        <v>239</v>
      </c>
      <c r="D46" s="3"/>
    </row>
    <row r="47" customFormat="false" ht="15" hidden="false" customHeight="true" outlineLevel="0" collapsed="false">
      <c r="B47" s="6" t="s">
        <v>94</v>
      </c>
      <c r="C47" s="8" t="n">
        <v>36</v>
      </c>
      <c r="D47" s="3" t="s">
        <v>95</v>
      </c>
    </row>
    <row r="48" customFormat="false" ht="15" hidden="false" customHeight="true" outlineLevel="0" collapsed="false">
      <c r="B48" s="6" t="s">
        <v>96</v>
      </c>
      <c r="C48" s="12" t="n">
        <v>0.05</v>
      </c>
      <c r="D48" s="3"/>
    </row>
    <row r="49" customFormat="false" ht="15" hidden="false" customHeight="true" outlineLevel="0" collapsed="false">
      <c r="B49" s="6" t="s">
        <v>97</v>
      </c>
      <c r="C49" s="15" t="n">
        <v>0</v>
      </c>
      <c r="D49" s="3" t="s">
        <v>98</v>
      </c>
    </row>
    <row r="50" customFormat="false" ht="15" hidden="false" customHeight="true" outlineLevel="0" collapsed="false">
      <c r="B50" s="6" t="s">
        <v>99</v>
      </c>
      <c r="C50" s="8" t="n">
        <v>10000</v>
      </c>
      <c r="D50" s="3"/>
    </row>
    <row r="51" customFormat="false" ht="15" hidden="false" customHeight="true" outlineLevel="0" collapsed="false">
      <c r="B51" s="6" t="s">
        <v>100</v>
      </c>
      <c r="C51" s="17" t="n">
        <v>0.12</v>
      </c>
      <c r="D51" s="3" t="s">
        <v>101</v>
      </c>
    </row>
    <row r="52" customFormat="false" ht="15" hidden="false" customHeight="true" outlineLevel="0" collapsed="false">
      <c r="B52" s="6" t="s">
        <v>102</v>
      </c>
      <c r="C52" s="23" t="n">
        <f aca="false">MAX(0,C6-C50)*C51*(C47/12)</f>
        <v>720</v>
      </c>
      <c r="D52" s="3"/>
    </row>
    <row r="53" customFormat="false" ht="15" hidden="false" customHeight="true" outlineLevel="0" collapsed="false">
      <c r="B53" s="6" t="s">
        <v>82</v>
      </c>
      <c r="C53" s="15" t="n">
        <v>850</v>
      </c>
      <c r="D53" s="3" t="s">
        <v>103</v>
      </c>
    </row>
    <row r="54" customFormat="false" ht="15" hidden="false" customHeight="true" outlineLevel="0" collapsed="false">
      <c r="B54" s="6" t="s">
        <v>84</v>
      </c>
      <c r="C54" s="15" t="n">
        <v>200</v>
      </c>
      <c r="D54" s="3"/>
    </row>
    <row r="56" customFormat="false" ht="15" hidden="false" customHeight="true" outlineLevel="0" collapsed="false">
      <c r="B56" s="4" t="s">
        <v>104</v>
      </c>
    </row>
    <row r="57" customFormat="false" ht="15" hidden="false" customHeight="true" outlineLevel="0" collapsed="false">
      <c r="B57" s="6" t="s">
        <v>105</v>
      </c>
      <c r="C57" s="15" t="n">
        <v>22000</v>
      </c>
      <c r="D57" s="3"/>
    </row>
    <row r="58" customFormat="false" ht="15" hidden="false" customHeight="true" outlineLevel="0" collapsed="false">
      <c r="B58" s="6" t="s">
        <v>106</v>
      </c>
      <c r="C58" s="20" t="n">
        <v>6</v>
      </c>
      <c r="D58" s="3"/>
    </row>
    <row r="59" customFormat="false" ht="15" hidden="false" customHeight="true" outlineLevel="0" collapsed="false">
      <c r="B59" s="6" t="s">
        <v>107</v>
      </c>
      <c r="C59" s="10" t="n">
        <v>0.13</v>
      </c>
      <c r="D59" s="3" t="s">
        <v>108</v>
      </c>
    </row>
    <row r="60" customFormat="false" ht="15" hidden="false" customHeight="true" outlineLevel="0" collapsed="false">
      <c r="B60" s="6" t="s">
        <v>81</v>
      </c>
      <c r="C60" s="23" t="n">
        <f aca="false">C57*(1-C59)^C7</f>
        <v>9539.776422198</v>
      </c>
      <c r="D60" s="3"/>
    </row>
    <row r="61" customFormat="false" ht="15" hidden="false" customHeight="true" outlineLevel="0" collapsed="false">
      <c r="B61" s="6" t="s">
        <v>82</v>
      </c>
      <c r="C61" s="15" t="n">
        <v>650</v>
      </c>
      <c r="D61" s="3"/>
    </row>
    <row r="62" customFormat="false" ht="15" hidden="false" customHeight="true" outlineLevel="0" collapsed="false">
      <c r="B62" s="6" t="s">
        <v>84</v>
      </c>
      <c r="C62" s="15" t="n">
        <v>550</v>
      </c>
      <c r="D62" s="3"/>
    </row>
    <row r="63" customFormat="false" ht="15" hidden="false" customHeight="true" outlineLevel="0" collapsed="false">
      <c r="B63" s="6" t="s">
        <v>88</v>
      </c>
      <c r="C63" s="15" t="n">
        <v>150</v>
      </c>
      <c r="D63" s="3"/>
    </row>
    <row r="65" customFormat="false" ht="15" hidden="false" customHeight="true" outlineLevel="0" collapsed="false">
      <c r="B65" s="4" t="s">
        <v>109</v>
      </c>
    </row>
    <row r="66" customFormat="false" ht="15" hidden="false" customHeight="true" outlineLevel="0" collapsed="false">
      <c r="B66" s="6" t="s">
        <v>110</v>
      </c>
      <c r="C66" s="13" t="n">
        <v>2500</v>
      </c>
      <c r="D66" s="3" t="s">
        <v>111</v>
      </c>
    </row>
    <row r="67" customFormat="false" ht="15" hidden="false" customHeight="true" outlineLevel="0" collapsed="false">
      <c r="B67" s="6" t="s">
        <v>112</v>
      </c>
      <c r="C67" s="7" t="n">
        <v>2</v>
      </c>
      <c r="D67" s="3" t="s">
        <v>113</v>
      </c>
    </row>
    <row r="68" customFormat="false" ht="15" hidden="false" customHeight="true" outlineLevel="0" collapsed="false">
      <c r="B68" s="6" t="s">
        <v>114</v>
      </c>
      <c r="C68" s="20" t="n">
        <v>7.5</v>
      </c>
      <c r="D68" s="3"/>
    </row>
    <row r="69" customFormat="false" ht="15" hidden="false" customHeight="true" outlineLevel="0" collapsed="false">
      <c r="B69" s="6" t="s">
        <v>115</v>
      </c>
      <c r="C69" s="25" t="n">
        <v>1.2</v>
      </c>
      <c r="D69" s="3" t="s">
        <v>116</v>
      </c>
    </row>
    <row r="70" customFormat="false" ht="15" hidden="false" customHeight="true" outlineLevel="0" collapsed="false">
      <c r="B70" s="6" t="s">
        <v>117</v>
      </c>
      <c r="C70" s="22" t="n">
        <f aca="false">C68*C69</f>
        <v>9</v>
      </c>
      <c r="D70" s="3"/>
    </row>
    <row r="71" customFormat="false" ht="15" hidden="false" customHeight="true" outlineLevel="0" collapsed="false">
      <c r="B71" s="6" t="s">
        <v>118</v>
      </c>
      <c r="C71" s="10" t="n">
        <v>0.9</v>
      </c>
      <c r="D71" s="3" t="s">
        <v>119</v>
      </c>
    </row>
    <row r="72" customFormat="false" ht="15" hidden="false" customHeight="true" outlineLevel="0" collapsed="false">
      <c r="B72" s="6" t="s">
        <v>120</v>
      </c>
      <c r="C72" s="18" t="n">
        <f aca="false">C71*C70*C29+(1-C71)*C68*C28</f>
        <v>9.594</v>
      </c>
      <c r="D72" s="3" t="s">
        <v>121</v>
      </c>
    </row>
    <row r="73" customFormat="false" ht="15" hidden="false" customHeight="true" outlineLevel="0" collapsed="false">
      <c r="B73" s="6" t="s">
        <v>82</v>
      </c>
      <c r="C73" s="15" t="n">
        <v>550</v>
      </c>
      <c r="D73" s="3"/>
    </row>
    <row r="74" customFormat="false" ht="15" hidden="false" customHeight="true" outlineLevel="0" collapsed="false">
      <c r="B74" s="6" t="s">
        <v>122</v>
      </c>
      <c r="C74" s="13" t="n">
        <v>900</v>
      </c>
      <c r="D74" s="3" t="s">
        <v>123</v>
      </c>
    </row>
    <row r="75" customFormat="false" ht="15" hidden="false" customHeight="true" outlineLevel="0" collapsed="false">
      <c r="B75" s="6" t="s">
        <v>88</v>
      </c>
      <c r="C75" s="15" t="n">
        <v>160</v>
      </c>
      <c r="D75" s="3"/>
    </row>
    <row r="76" customFormat="false" ht="15" hidden="false" customHeight="true" outlineLevel="0" collapsed="false">
      <c r="B76" s="6" t="s">
        <v>124</v>
      </c>
      <c r="C76" s="15" t="n">
        <v>800</v>
      </c>
      <c r="D76" s="3"/>
    </row>
    <row r="77" customFormat="false" ht="15" hidden="false" customHeight="true" outlineLevel="0" collapsed="false">
      <c r="B77" s="6" t="s">
        <v>125</v>
      </c>
      <c r="C77" s="13" t="n">
        <v>1500</v>
      </c>
      <c r="D77" s="3" t="s">
        <v>126</v>
      </c>
    </row>
    <row r="79" customFormat="false" ht="15" hidden="false" customHeight="true" outlineLevel="0" collapsed="false">
      <c r="B79" s="4" t="s">
        <v>127</v>
      </c>
    </row>
    <row r="80" customFormat="false" ht="15" hidden="false" customHeight="true" outlineLevel="0" collapsed="false">
      <c r="B80" s="6" t="s">
        <v>128</v>
      </c>
      <c r="C80" s="14" t="n">
        <f aca="false">C33</f>
        <v>23900</v>
      </c>
      <c r="D80" s="3" t="s">
        <v>129</v>
      </c>
    </row>
    <row r="81" customFormat="false" ht="15" hidden="false" customHeight="true" outlineLevel="0" collapsed="false">
      <c r="B81" s="6" t="s">
        <v>130</v>
      </c>
      <c r="C81" s="23" t="n">
        <f aca="false">C80*(1+C12)^C67</f>
        <v>24622.3775</v>
      </c>
      <c r="D81" s="3"/>
    </row>
    <row r="82" customFormat="false" ht="15" hidden="false" customHeight="true" outlineLevel="0" collapsed="false">
      <c r="B82" s="6" t="s">
        <v>131</v>
      </c>
      <c r="C82" s="23" t="n">
        <f aca="false">C81*(1-C37)^(C7-C67)</f>
        <v>12853.0349448594</v>
      </c>
      <c r="D82" s="3" t="s">
        <v>132</v>
      </c>
    </row>
    <row r="84" customFormat="false" ht="15" hidden="false" customHeight="true" outlineLevel="0" collapsed="false">
      <c r="B84" s="4" t="s">
        <v>133</v>
      </c>
    </row>
    <row r="85" customFormat="false" ht="15" hidden="false" customHeight="false" outlineLevel="0" collapsed="false">
      <c r="B85" s="26" t="s">
        <v>69</v>
      </c>
      <c r="C85" s="27" t="s">
        <v>134</v>
      </c>
      <c r="D85" s="28" t="s">
        <v>135</v>
      </c>
    </row>
    <row r="86" customFormat="false" ht="15" hidden="false" customHeight="false" outlineLevel="0" collapsed="false">
      <c r="B86" s="26" t="s">
        <v>105</v>
      </c>
      <c r="C86" s="29" t="n">
        <v>18000</v>
      </c>
      <c r="D86" s="28" t="s">
        <v>136</v>
      </c>
    </row>
    <row r="87" customFormat="false" ht="15" hidden="false" customHeight="false" outlineLevel="0" collapsed="false">
      <c r="B87" s="26" t="s">
        <v>137</v>
      </c>
      <c r="C87" s="30" t="n">
        <v>3</v>
      </c>
      <c r="D87" s="28" t="s">
        <v>138</v>
      </c>
    </row>
    <row r="88" customFormat="false" ht="15" hidden="false" customHeight="false" outlineLevel="0" collapsed="false">
      <c r="B88" s="26" t="s">
        <v>74</v>
      </c>
      <c r="C88" s="31" t="n">
        <v>16</v>
      </c>
      <c r="D88" s="28" t="s">
        <v>139</v>
      </c>
    </row>
    <row r="89" customFormat="false" ht="15" hidden="false" customHeight="false" outlineLevel="0" collapsed="false">
      <c r="B89" s="26" t="s">
        <v>78</v>
      </c>
      <c r="C89" s="32" t="n">
        <f aca="false">C88*C35</f>
        <v>18.88</v>
      </c>
      <c r="D89" s="28"/>
    </row>
    <row r="90" customFormat="false" ht="15" hidden="false" customHeight="false" outlineLevel="0" collapsed="false">
      <c r="B90" s="26" t="s">
        <v>140</v>
      </c>
      <c r="C90" s="33" t="n">
        <v>0.11</v>
      </c>
      <c r="D90" s="28" t="s">
        <v>141</v>
      </c>
    </row>
    <row r="91" customFormat="false" ht="15" hidden="false" customHeight="false" outlineLevel="0" collapsed="false">
      <c r="B91" s="26" t="s">
        <v>81</v>
      </c>
      <c r="C91" s="34" t="n">
        <f aca="false">C86*(1-C90)^C7</f>
        <v>8945.663237298</v>
      </c>
      <c r="D91" s="28"/>
    </row>
    <row r="92" customFormat="false" ht="15" hidden="false" customHeight="false" outlineLevel="0" collapsed="false">
      <c r="B92" s="26" t="s">
        <v>82</v>
      </c>
      <c r="C92" s="35" t="n">
        <v>700</v>
      </c>
      <c r="D92" s="28" t="s">
        <v>142</v>
      </c>
    </row>
    <row r="93" customFormat="false" ht="15" hidden="false" customHeight="false" outlineLevel="0" collapsed="false">
      <c r="B93" s="26" t="s">
        <v>84</v>
      </c>
      <c r="C93" s="35" t="n">
        <v>450</v>
      </c>
      <c r="D93" s="28"/>
    </row>
    <row r="94" customFormat="false" ht="15" hidden="false" customHeight="false" outlineLevel="0" collapsed="false">
      <c r="B94" s="26" t="s">
        <v>143</v>
      </c>
      <c r="C94" s="29" t="n">
        <v>400</v>
      </c>
      <c r="D94" s="28" t="s">
        <v>144</v>
      </c>
    </row>
    <row r="95" customFormat="false" ht="15" hidden="false" customHeight="false" outlineLevel="0" collapsed="false">
      <c r="B95" s="26" t="s">
        <v>88</v>
      </c>
      <c r="C95" s="34" t="n">
        <v>0</v>
      </c>
      <c r="D95" s="28" t="s">
        <v>145</v>
      </c>
    </row>
    <row r="96" customFormat="false" ht="15" hidden="false" customHeight="false" outlineLevel="0" collapsed="false">
      <c r="B96" s="26" t="s">
        <v>146</v>
      </c>
      <c r="C96" s="36" t="n">
        <f aca="false">MAX(0,8-C87)</f>
        <v>5</v>
      </c>
      <c r="D96" s="28" t="s">
        <v>147</v>
      </c>
    </row>
    <row r="98" customFormat="false" ht="15" hidden="false" customHeight="false" outlineLevel="0" collapsed="false">
      <c r="B98" s="28" t="s">
        <v>148</v>
      </c>
    </row>
    <row r="99" customFormat="false" ht="15" hidden="false" customHeight="false" outlineLevel="0" collapsed="false">
      <c r="B99" s="28" t="s">
        <v>149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6" min="3" style="1" width="20"/>
  </cols>
  <sheetData>
    <row r="2" customFormat="false" ht="15.75" hidden="false" customHeight="true" outlineLevel="0" collapsed="false">
      <c r="B2" s="2" t="s">
        <v>150</v>
      </c>
    </row>
    <row r="3" customFormat="false" ht="15" hidden="false" customHeight="true" outlineLevel="0" collapsed="false">
      <c r="B3" s="3" t="s">
        <v>151</v>
      </c>
    </row>
    <row r="4" customFormat="false" ht="15" hidden="false" customHeight="true" outlineLevel="0" collapsed="false">
      <c r="B4" s="3" t="s">
        <v>152</v>
      </c>
    </row>
    <row r="6" customFormat="false" ht="15" hidden="false" customHeight="true" outlineLevel="0" collapsed="false">
      <c r="B6" s="4" t="s">
        <v>153</v>
      </c>
    </row>
    <row r="7" customFormat="false" ht="23.25" hidden="false" customHeight="true" outlineLevel="0" collapsed="false">
      <c r="B7" s="37" t="s">
        <v>154</v>
      </c>
      <c r="C7" s="37" t="s">
        <v>155</v>
      </c>
      <c r="D7" s="37" t="s">
        <v>156</v>
      </c>
      <c r="E7" s="37" t="s">
        <v>157</v>
      </c>
      <c r="H7" s="3" t="s">
        <v>158</v>
      </c>
    </row>
    <row r="8" customFormat="false" ht="15" hidden="false" customHeight="true" outlineLevel="0" collapsed="false">
      <c r="B8" s="38" t="s">
        <v>159</v>
      </c>
      <c r="C8" s="23" t="n">
        <v>5000</v>
      </c>
      <c r="D8" s="23" t="n">
        <v>5500</v>
      </c>
      <c r="E8" s="23" t="n">
        <v>6000</v>
      </c>
      <c r="H8" s="39" t="n">
        <v>0</v>
      </c>
    </row>
    <row r="9" customFormat="false" ht="15" hidden="false" customHeight="true" outlineLevel="0" collapsed="false">
      <c r="B9" s="38" t="s">
        <v>160</v>
      </c>
      <c r="C9" s="23" t="n">
        <v>4000</v>
      </c>
      <c r="D9" s="23" t="n">
        <v>4500</v>
      </c>
      <c r="E9" s="23" t="n">
        <v>5000</v>
      </c>
      <c r="H9" s="39" t="n">
        <v>45000.01</v>
      </c>
    </row>
    <row r="10" customFormat="false" ht="15" hidden="false" customHeight="true" outlineLevel="0" collapsed="false">
      <c r="B10" s="38" t="s">
        <v>161</v>
      </c>
      <c r="C10" s="23" t="n">
        <v>3000</v>
      </c>
      <c r="D10" s="23" t="n">
        <v>3500</v>
      </c>
      <c r="E10" s="23" t="n">
        <v>4000</v>
      </c>
      <c r="H10" s="39" t="n">
        <v>60000.01</v>
      </c>
    </row>
    <row r="11" customFormat="false" ht="15" hidden="false" customHeight="true" outlineLevel="0" collapsed="false">
      <c r="B11" s="38" t="s">
        <v>162</v>
      </c>
      <c r="C11" s="23" t="n">
        <v>0</v>
      </c>
      <c r="D11" s="23" t="n">
        <v>3500</v>
      </c>
      <c r="E11" s="23" t="n">
        <v>4000</v>
      </c>
      <c r="H11" s="39" t="n">
        <v>80000.01</v>
      </c>
    </row>
    <row r="12" customFormat="false" ht="15" hidden="false" customHeight="true" outlineLevel="0" collapsed="false">
      <c r="B12" s="38" t="s">
        <v>163</v>
      </c>
      <c r="C12" s="23" t="n">
        <v>0</v>
      </c>
      <c r="D12" s="23" t="n">
        <v>0</v>
      </c>
      <c r="E12" s="23" t="n">
        <v>4000</v>
      </c>
      <c r="H12" s="39" t="n">
        <v>85000.01</v>
      </c>
    </row>
    <row r="13" customFormat="false" ht="15" hidden="false" customHeight="true" outlineLevel="0" collapsed="false">
      <c r="B13" s="38" t="s">
        <v>164</v>
      </c>
      <c r="C13" s="23" t="n">
        <v>0</v>
      </c>
      <c r="D13" s="23" t="n">
        <v>0</v>
      </c>
      <c r="E13" s="23" t="n">
        <v>0</v>
      </c>
      <c r="H13" s="39" t="n">
        <v>90000.01</v>
      </c>
    </row>
    <row r="15" customFormat="false" ht="15" hidden="false" customHeight="true" outlineLevel="0" collapsed="false">
      <c r="B15" s="4" t="s">
        <v>165</v>
      </c>
    </row>
    <row r="16" customFormat="false" ht="23.25" hidden="false" customHeight="true" outlineLevel="0" collapsed="false">
      <c r="B16" s="37" t="s">
        <v>154</v>
      </c>
      <c r="C16" s="37" t="s">
        <v>155</v>
      </c>
      <c r="D16" s="37" t="s">
        <v>156</v>
      </c>
      <c r="E16" s="37" t="s">
        <v>157</v>
      </c>
    </row>
    <row r="17" customFormat="false" ht="15" hidden="false" customHeight="true" outlineLevel="0" collapsed="false">
      <c r="B17" s="38" t="s">
        <v>159</v>
      </c>
      <c r="C17" s="23" t="n">
        <v>3500</v>
      </c>
      <c r="D17" s="23" t="n">
        <v>4000</v>
      </c>
      <c r="E17" s="23" t="n">
        <v>4500</v>
      </c>
    </row>
    <row r="18" customFormat="false" ht="15" hidden="false" customHeight="true" outlineLevel="0" collapsed="false">
      <c r="B18" s="38" t="s">
        <v>160</v>
      </c>
      <c r="C18" s="23" t="n">
        <v>2500</v>
      </c>
      <c r="D18" s="23" t="n">
        <v>3000</v>
      </c>
      <c r="E18" s="23" t="n">
        <v>3500</v>
      </c>
    </row>
    <row r="19" customFormat="false" ht="15" hidden="false" customHeight="true" outlineLevel="0" collapsed="false">
      <c r="B19" s="38" t="s">
        <v>161</v>
      </c>
      <c r="C19" s="23" t="n">
        <v>1500</v>
      </c>
      <c r="D19" s="23" t="n">
        <v>2000</v>
      </c>
      <c r="E19" s="23" t="n">
        <v>2500</v>
      </c>
    </row>
    <row r="20" customFormat="false" ht="15" hidden="false" customHeight="true" outlineLevel="0" collapsed="false">
      <c r="B20" s="38" t="s">
        <v>162</v>
      </c>
      <c r="C20" s="23" t="n">
        <v>0</v>
      </c>
      <c r="D20" s="23" t="n">
        <v>2000</v>
      </c>
      <c r="E20" s="23" t="n">
        <v>2500</v>
      </c>
    </row>
    <row r="21" customFormat="false" ht="15" hidden="false" customHeight="true" outlineLevel="0" collapsed="false">
      <c r="B21" s="38" t="s">
        <v>163</v>
      </c>
      <c r="C21" s="23" t="n">
        <v>0</v>
      </c>
      <c r="D21" s="23" t="n">
        <v>0</v>
      </c>
      <c r="E21" s="23" t="n">
        <v>2500</v>
      </c>
    </row>
    <row r="22" customFormat="false" ht="15" hidden="false" customHeight="true" outlineLevel="0" collapsed="false">
      <c r="B22" s="38" t="s">
        <v>164</v>
      </c>
      <c r="C22" s="23" t="n">
        <v>0</v>
      </c>
      <c r="D22" s="23" t="n">
        <v>0</v>
      </c>
      <c r="E22" s="23" t="n">
        <v>0</v>
      </c>
    </row>
    <row r="24" customFormat="false" ht="15" hidden="false" customHeight="true" outlineLevel="0" collapsed="false">
      <c r="B24" s="4" t="s">
        <v>166</v>
      </c>
    </row>
    <row r="25" customFormat="false" ht="15" hidden="false" customHeight="true" outlineLevel="0" collapsed="false">
      <c r="B25" s="40" t="s">
        <v>167</v>
      </c>
      <c r="C25" s="6" t="s">
        <v>168</v>
      </c>
    </row>
    <row r="26" customFormat="false" ht="15" hidden="false" customHeight="true" outlineLevel="0" collapsed="false">
      <c r="B26" s="40" t="s">
        <v>169</v>
      </c>
      <c r="C26" s="6" t="s">
        <v>170</v>
      </c>
    </row>
    <row r="27" customFormat="false" ht="15" hidden="false" customHeight="true" outlineLevel="0" collapsed="false">
      <c r="B27" s="40" t="s">
        <v>171</v>
      </c>
      <c r="C27" s="6" t="s">
        <v>172</v>
      </c>
    </row>
    <row r="28" customFormat="false" ht="15" hidden="false" customHeight="true" outlineLevel="0" collapsed="false">
      <c r="B28" s="40" t="s">
        <v>173</v>
      </c>
      <c r="C28" s="6" t="s">
        <v>174</v>
      </c>
    </row>
    <row r="30" customFormat="false" ht="15" hidden="false" customHeight="true" outlineLevel="0" collapsed="false">
      <c r="B30" s="3" t="s">
        <v>175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15"/>
    <col collapsed="false" customWidth="true" hidden="false" outlineLevel="0" max="4" min="4" style="1" width="13"/>
    <col collapsed="false" customWidth="true" hidden="false" outlineLevel="0" max="8" min="5" style="1" width="12"/>
    <col collapsed="false" customWidth="true" hidden="false" outlineLevel="0" max="9" min="9" style="1" width="14"/>
    <col collapsed="false" customWidth="true" hidden="false" outlineLevel="0" max="11" min="10" style="1" width="13"/>
    <col collapsed="false" customWidth="true" hidden="false" outlineLevel="0" max="12" min="12" style="1" width="46"/>
  </cols>
  <sheetData>
    <row r="2" customFormat="false" ht="15.75" hidden="false" customHeight="true" outlineLevel="0" collapsed="false">
      <c r="B2" s="2" t="s">
        <v>176</v>
      </c>
    </row>
    <row r="3" customFormat="false" ht="15" hidden="false" customHeight="true" outlineLevel="0" collapsed="false">
      <c r="B3" s="3" t="s">
        <v>177</v>
      </c>
    </row>
    <row r="5" customFormat="false" ht="31.5" hidden="false" customHeight="true" outlineLevel="0" collapsed="false">
      <c r="B5" s="41" t="s">
        <v>69</v>
      </c>
      <c r="C5" s="41" t="s">
        <v>178</v>
      </c>
      <c r="D5" s="41" t="s">
        <v>179</v>
      </c>
      <c r="E5" s="41" t="s">
        <v>180</v>
      </c>
      <c r="F5" s="41" t="s">
        <v>181</v>
      </c>
      <c r="G5" s="41" t="s">
        <v>182</v>
      </c>
      <c r="H5" s="41" t="s">
        <v>183</v>
      </c>
      <c r="I5" s="41" t="s">
        <v>184</v>
      </c>
      <c r="J5" s="41" t="s">
        <v>185</v>
      </c>
      <c r="K5" s="41" t="s">
        <v>186</v>
      </c>
      <c r="L5" s="41" t="s">
        <v>187</v>
      </c>
    </row>
    <row r="6" customFormat="false" ht="15" hidden="false" customHeight="true" outlineLevel="0" collapsed="false">
      <c r="B6" s="38" t="s">
        <v>188</v>
      </c>
      <c r="C6" s="38" t="s">
        <v>189</v>
      </c>
      <c r="D6" s="15" t="n">
        <v>18700</v>
      </c>
      <c r="E6" s="20" t="n">
        <v>14.6</v>
      </c>
      <c r="F6" s="22" t="n">
        <f aca="false">E6*Annahmen!$C$35</f>
        <v>17.228</v>
      </c>
      <c r="G6" s="8" t="n">
        <v>220</v>
      </c>
      <c r="H6" s="14" t="n">
        <f aca="false">Annahmen!$C$17</f>
        <v>4000</v>
      </c>
      <c r="I6" s="23" t="n">
        <f aca="false">D6-H6</f>
        <v>14700</v>
      </c>
      <c r="J6" s="18" t="n">
        <f aca="false">F6*Annahmen!$C$27</f>
        <v>6.0298</v>
      </c>
      <c r="K6" s="23" t="n">
        <f aca="false">J6*Annahmen!$C$6/100</f>
        <v>723.576</v>
      </c>
      <c r="L6" s="3" t="s">
        <v>190</v>
      </c>
    </row>
    <row r="7" customFormat="false" ht="15" hidden="false" customHeight="true" outlineLevel="0" collapsed="false">
      <c r="B7" s="38" t="s">
        <v>191</v>
      </c>
      <c r="C7" s="38" t="s">
        <v>189</v>
      </c>
      <c r="D7" s="15" t="n">
        <v>18900</v>
      </c>
      <c r="E7" s="20" t="n">
        <v>16.5</v>
      </c>
      <c r="F7" s="22" t="n">
        <f aca="false">E7*Annahmen!$C$35</f>
        <v>19.47</v>
      </c>
      <c r="G7" s="8" t="n">
        <v>265</v>
      </c>
      <c r="H7" s="14" t="n">
        <f aca="false">Annahmen!$C$17</f>
        <v>4000</v>
      </c>
      <c r="I7" s="23" t="n">
        <f aca="false">D7-H7</f>
        <v>14900</v>
      </c>
      <c r="J7" s="18" t="n">
        <f aca="false">F7*Annahmen!$C$27</f>
        <v>6.8145</v>
      </c>
      <c r="K7" s="23" t="n">
        <f aca="false">J7*Annahmen!$C$6/100</f>
        <v>817.74</v>
      </c>
      <c r="L7" s="3" t="s">
        <v>192</v>
      </c>
    </row>
    <row r="8" customFormat="false" ht="15" hidden="false" customHeight="true" outlineLevel="0" collapsed="false">
      <c r="B8" s="38" t="s">
        <v>193</v>
      </c>
      <c r="C8" s="38" t="s">
        <v>189</v>
      </c>
      <c r="D8" s="15" t="n">
        <v>19900</v>
      </c>
      <c r="E8" s="20" t="n">
        <v>14</v>
      </c>
      <c r="F8" s="22" t="n">
        <f aca="false">E8*Annahmen!$C$35</f>
        <v>16.52</v>
      </c>
      <c r="G8" s="8" t="n">
        <v>263</v>
      </c>
      <c r="H8" s="14" t="n">
        <f aca="false">Annahmen!$C$17</f>
        <v>4000</v>
      </c>
      <c r="I8" s="23" t="n">
        <f aca="false">D8-H8</f>
        <v>15900</v>
      </c>
      <c r="J8" s="18" t="n">
        <f aca="false">F8*Annahmen!$C$27</f>
        <v>5.782</v>
      </c>
      <c r="K8" s="23" t="n">
        <f aca="false">J8*Annahmen!$C$6/100</f>
        <v>693.84</v>
      </c>
      <c r="L8" s="3" t="s">
        <v>192</v>
      </c>
    </row>
    <row r="9" customFormat="false" ht="15" hidden="false" customHeight="true" outlineLevel="0" collapsed="false">
      <c r="B9" s="38" t="s">
        <v>194</v>
      </c>
      <c r="C9" s="38" t="s">
        <v>195</v>
      </c>
      <c r="D9" s="15" t="n">
        <v>19990</v>
      </c>
      <c r="E9" s="20" t="n">
        <v>17</v>
      </c>
      <c r="F9" s="22" t="n">
        <f aca="false">E9*Annahmen!$C$35</f>
        <v>20.06</v>
      </c>
      <c r="G9" s="8" t="n">
        <v>320</v>
      </c>
      <c r="H9" s="14" t="n">
        <f aca="false">Annahmen!$C$17</f>
        <v>4000</v>
      </c>
      <c r="I9" s="23" t="n">
        <f aca="false">D9-H9</f>
        <v>15990</v>
      </c>
      <c r="J9" s="18" t="n">
        <f aca="false">F9*Annahmen!$C$27</f>
        <v>7.021</v>
      </c>
      <c r="K9" s="23" t="n">
        <f aca="false">J9*Annahmen!$C$6/100</f>
        <v>842.52</v>
      </c>
      <c r="L9" s="3" t="s">
        <v>192</v>
      </c>
    </row>
    <row r="10" customFormat="false" ht="15" hidden="false" customHeight="true" outlineLevel="0" collapsed="false">
      <c r="B10" s="38" t="s">
        <v>196</v>
      </c>
      <c r="C10" s="38" t="s">
        <v>195</v>
      </c>
      <c r="D10" s="15" t="n">
        <v>22990</v>
      </c>
      <c r="E10" s="20" t="n">
        <v>16</v>
      </c>
      <c r="F10" s="22" t="n">
        <f aca="false">E10*Annahmen!$C$35</f>
        <v>18.88</v>
      </c>
      <c r="G10" s="8" t="n">
        <v>322</v>
      </c>
      <c r="H10" s="14" t="n">
        <f aca="false">Annahmen!$C$17</f>
        <v>4000</v>
      </c>
      <c r="I10" s="23" t="n">
        <f aca="false">D10-H10</f>
        <v>18990</v>
      </c>
      <c r="J10" s="18" t="n">
        <f aca="false">F10*Annahmen!$C$27</f>
        <v>6.608</v>
      </c>
      <c r="K10" s="23" t="n">
        <f aca="false">J10*Annahmen!$C$6/100</f>
        <v>792.96</v>
      </c>
      <c r="L10" s="3" t="s">
        <v>192</v>
      </c>
    </row>
    <row r="11" customFormat="false" ht="15" hidden="false" customHeight="true" outlineLevel="0" collapsed="false">
      <c r="B11" s="38" t="s">
        <v>197</v>
      </c>
      <c r="C11" s="38" t="s">
        <v>195</v>
      </c>
      <c r="D11" s="15" t="n">
        <v>23900</v>
      </c>
      <c r="E11" s="20" t="n">
        <v>15.1</v>
      </c>
      <c r="F11" s="22" t="n">
        <f aca="false">E11*Annahmen!$C$35</f>
        <v>17.818</v>
      </c>
      <c r="G11" s="8" t="n">
        <v>355</v>
      </c>
      <c r="H11" s="14" t="n">
        <f aca="false">Annahmen!$C$17</f>
        <v>4000</v>
      </c>
      <c r="I11" s="23" t="n">
        <f aca="false">D11-H11</f>
        <v>19900</v>
      </c>
      <c r="J11" s="18" t="n">
        <f aca="false">F11*Annahmen!$C$27</f>
        <v>6.2363</v>
      </c>
      <c r="K11" s="23" t="n">
        <f aca="false">J11*Annahmen!$C$6/100</f>
        <v>748.356</v>
      </c>
      <c r="L11" s="3" t="s">
        <v>198</v>
      </c>
    </row>
    <row r="12" customFormat="false" ht="15" hidden="false" customHeight="true" outlineLevel="0" collapsed="false">
      <c r="B12" s="38" t="s">
        <v>199</v>
      </c>
      <c r="C12" s="38" t="s">
        <v>195</v>
      </c>
      <c r="D12" s="15" t="n">
        <v>24990</v>
      </c>
      <c r="E12" s="20" t="n">
        <v>17</v>
      </c>
      <c r="F12" s="22" t="n">
        <f aca="false">E12*Annahmen!$C$35</f>
        <v>20.06</v>
      </c>
      <c r="G12" s="8" t="n">
        <v>320</v>
      </c>
      <c r="H12" s="14" t="n">
        <f aca="false">Annahmen!$C$17</f>
        <v>4000</v>
      </c>
      <c r="I12" s="23" t="n">
        <f aca="false">D12-H12</f>
        <v>20990</v>
      </c>
      <c r="J12" s="18" t="n">
        <f aca="false">F12*Annahmen!$C$27</f>
        <v>7.021</v>
      </c>
      <c r="K12" s="23" t="n">
        <f aca="false">J12*Annahmen!$C$6/100</f>
        <v>842.52</v>
      </c>
      <c r="L12" s="3" t="s">
        <v>192</v>
      </c>
    </row>
    <row r="13" customFormat="false" ht="15" hidden="false" customHeight="true" outlineLevel="0" collapsed="false">
      <c r="B13" s="38" t="s">
        <v>200</v>
      </c>
      <c r="C13" s="38" t="s">
        <v>195</v>
      </c>
      <c r="D13" s="15" t="n">
        <v>24995</v>
      </c>
      <c r="E13" s="20" t="n">
        <v>14.5</v>
      </c>
      <c r="F13" s="22" t="n">
        <f aca="false">E13*Annahmen!$C$35</f>
        <v>17.11</v>
      </c>
      <c r="G13" s="8" t="n">
        <v>450</v>
      </c>
      <c r="H13" s="14" t="n">
        <f aca="false">Annahmen!$C$17</f>
        <v>4000</v>
      </c>
      <c r="I13" s="23" t="n">
        <f aca="false">D13-H13</f>
        <v>20995</v>
      </c>
      <c r="J13" s="18" t="n">
        <f aca="false">F13*Annahmen!$C$27</f>
        <v>5.9885</v>
      </c>
      <c r="K13" s="23" t="n">
        <f aca="false">J13*Annahmen!$C$6/100</f>
        <v>718.62</v>
      </c>
      <c r="L13" s="3" t="s">
        <v>201</v>
      </c>
    </row>
    <row r="14" customFormat="false" ht="15" hidden="false" customHeight="true" outlineLevel="0" collapsed="false">
      <c r="B14" s="38" t="s">
        <v>202</v>
      </c>
      <c r="C14" s="38" t="s">
        <v>203</v>
      </c>
      <c r="D14" s="15" t="n">
        <v>25900</v>
      </c>
      <c r="E14" s="20" t="n">
        <v>15.5</v>
      </c>
      <c r="F14" s="22" t="n">
        <f aca="false">E14*Annahmen!$C$35</f>
        <v>18.29</v>
      </c>
      <c r="G14" s="8" t="n">
        <v>430</v>
      </c>
      <c r="H14" s="14" t="n">
        <f aca="false">Annahmen!$C$17</f>
        <v>4000</v>
      </c>
      <c r="I14" s="23" t="n">
        <f aca="false">D14-H14</f>
        <v>21900</v>
      </c>
      <c r="J14" s="18" t="n">
        <f aca="false">F14*Annahmen!$C$27</f>
        <v>6.4015</v>
      </c>
      <c r="K14" s="23" t="n">
        <f aca="false">J14*Annahmen!$C$6/100</f>
        <v>768.18</v>
      </c>
      <c r="L14" s="3" t="s">
        <v>201</v>
      </c>
    </row>
    <row r="15" customFormat="false" ht="15" hidden="false" customHeight="true" outlineLevel="0" collapsed="false">
      <c r="B15" s="38" t="s">
        <v>204</v>
      </c>
      <c r="C15" s="38" t="s">
        <v>195</v>
      </c>
      <c r="D15" s="15" t="n">
        <v>28000</v>
      </c>
      <c r="E15" s="20" t="n">
        <v>15</v>
      </c>
      <c r="F15" s="22" t="n">
        <f aca="false">E15*Annahmen!$C$35</f>
        <v>17.7</v>
      </c>
      <c r="G15" s="8" t="n">
        <v>410</v>
      </c>
      <c r="H15" s="14" t="n">
        <f aca="false">Annahmen!$C$17</f>
        <v>4000</v>
      </c>
      <c r="I15" s="23" t="n">
        <f aca="false">D15-H15</f>
        <v>24000</v>
      </c>
      <c r="J15" s="18" t="n">
        <f aca="false">F15*Annahmen!$C$27</f>
        <v>6.195</v>
      </c>
      <c r="K15" s="23" t="n">
        <f aca="false">J15*Annahmen!$C$6/100</f>
        <v>743.4</v>
      </c>
      <c r="L15" s="3" t="s">
        <v>192</v>
      </c>
    </row>
    <row r="16" customFormat="false" ht="15" hidden="false" customHeight="true" outlineLevel="0" collapsed="false">
      <c r="B16" s="38" t="s">
        <v>205</v>
      </c>
      <c r="C16" s="38" t="s">
        <v>203</v>
      </c>
      <c r="D16" s="15" t="n">
        <v>28990</v>
      </c>
      <c r="E16" s="20" t="n">
        <v>18.5</v>
      </c>
      <c r="F16" s="22" t="n">
        <f aca="false">E16*Annahmen!$C$35</f>
        <v>21.83</v>
      </c>
      <c r="G16" s="8" t="n">
        <v>305</v>
      </c>
      <c r="H16" s="14" t="n">
        <f aca="false">Annahmen!$C$17</f>
        <v>4000</v>
      </c>
      <c r="I16" s="23" t="n">
        <f aca="false">D16-H16</f>
        <v>24990</v>
      </c>
      <c r="J16" s="18" t="n">
        <f aca="false">F16*Annahmen!$C$27</f>
        <v>7.6405</v>
      </c>
      <c r="K16" s="23" t="n">
        <f aca="false">J16*Annahmen!$C$6/100</f>
        <v>916.86</v>
      </c>
      <c r="L16" s="3" t="s">
        <v>192</v>
      </c>
    </row>
    <row r="17" customFormat="false" ht="15" hidden="false" customHeight="true" outlineLevel="0" collapsed="false">
      <c r="B17" s="38" t="s">
        <v>206</v>
      </c>
      <c r="C17" s="38" t="s">
        <v>195</v>
      </c>
      <c r="D17" s="15" t="n">
        <v>35000</v>
      </c>
      <c r="E17" s="20" t="n">
        <v>14.5</v>
      </c>
      <c r="F17" s="22" t="n">
        <f aca="false">E17*Annahmen!$C$35</f>
        <v>17.11</v>
      </c>
      <c r="G17" s="8" t="n">
        <v>490</v>
      </c>
      <c r="H17" s="14" t="n">
        <f aca="false">Annahmen!$C$17</f>
        <v>4000</v>
      </c>
      <c r="I17" s="23" t="n">
        <f aca="false">D17-H17</f>
        <v>31000</v>
      </c>
      <c r="J17" s="18" t="n">
        <f aca="false">F17*Annahmen!$C$27</f>
        <v>5.9885</v>
      </c>
      <c r="K17" s="23" t="n">
        <f aca="false">J17*Annahmen!$C$6/100</f>
        <v>718.62</v>
      </c>
      <c r="L17" s="3" t="s">
        <v>207</v>
      </c>
    </row>
    <row r="18" customFormat="false" ht="15" hidden="false" customHeight="true" outlineLevel="0" collapsed="false">
      <c r="B18" s="38" t="s">
        <v>208</v>
      </c>
      <c r="C18" s="38" t="s">
        <v>203</v>
      </c>
      <c r="D18" s="15" t="n">
        <v>35990</v>
      </c>
      <c r="E18" s="20" t="n">
        <v>15</v>
      </c>
      <c r="F18" s="22" t="n">
        <f aca="false">E18*Annahmen!$C$35</f>
        <v>17.7</v>
      </c>
      <c r="G18" s="8" t="n">
        <v>436</v>
      </c>
      <c r="H18" s="14" t="n">
        <f aca="false">Annahmen!$C$17</f>
        <v>4000</v>
      </c>
      <c r="I18" s="23" t="n">
        <f aca="false">D18-H18</f>
        <v>31990</v>
      </c>
      <c r="J18" s="18" t="n">
        <f aca="false">F18*Annahmen!$C$27</f>
        <v>6.195</v>
      </c>
      <c r="K18" s="23" t="n">
        <f aca="false">J18*Annahmen!$C$6/100</f>
        <v>743.4</v>
      </c>
      <c r="L18" s="3" t="s">
        <v>209</v>
      </c>
    </row>
    <row r="19" customFormat="false" ht="15" hidden="false" customHeight="true" outlineLevel="0" collapsed="false">
      <c r="B19" s="38" t="s">
        <v>210</v>
      </c>
      <c r="C19" s="38" t="s">
        <v>203</v>
      </c>
      <c r="D19" s="15" t="n">
        <v>37990</v>
      </c>
      <c r="E19" s="20" t="n">
        <v>15.5</v>
      </c>
      <c r="F19" s="22" t="n">
        <f aca="false">E19*Annahmen!$C$35</f>
        <v>18.29</v>
      </c>
      <c r="G19" s="8" t="n">
        <v>430</v>
      </c>
      <c r="H19" s="14" t="n">
        <f aca="false">Annahmen!$C$17</f>
        <v>4000</v>
      </c>
      <c r="I19" s="23" t="n">
        <f aca="false">D19-H19</f>
        <v>33990</v>
      </c>
      <c r="J19" s="18" t="n">
        <f aca="false">F19*Annahmen!$C$27</f>
        <v>6.4015</v>
      </c>
      <c r="K19" s="23" t="n">
        <f aca="false">J19*Annahmen!$C$6/100</f>
        <v>768.18</v>
      </c>
      <c r="L19" s="3" t="s">
        <v>211</v>
      </c>
    </row>
    <row r="20" customFormat="false" ht="15" hidden="false" customHeight="true" outlineLevel="0" collapsed="false">
      <c r="B20" s="38" t="s">
        <v>212</v>
      </c>
      <c r="C20" s="38" t="s">
        <v>203</v>
      </c>
      <c r="D20" s="15" t="n">
        <v>43890</v>
      </c>
      <c r="E20" s="20" t="n">
        <v>16</v>
      </c>
      <c r="F20" s="22" t="n">
        <f aca="false">E20*Annahmen!$C$35</f>
        <v>18.88</v>
      </c>
      <c r="G20" s="8" t="n">
        <v>605</v>
      </c>
      <c r="H20" s="14" t="n">
        <f aca="false">Annahmen!$C$17</f>
        <v>4000</v>
      </c>
      <c r="I20" s="23" t="n">
        <f aca="false">D20-H20</f>
        <v>39890</v>
      </c>
      <c r="J20" s="18" t="n">
        <f aca="false">F20*Annahmen!$C$27</f>
        <v>6.608</v>
      </c>
      <c r="K20" s="23" t="n">
        <f aca="false">J20*Annahmen!$C$6/100</f>
        <v>792.96</v>
      </c>
      <c r="L20" s="3" t="s">
        <v>213</v>
      </c>
    </row>
    <row r="23" customFormat="false" ht="15" hidden="false" customHeight="true" outlineLevel="0" collapsed="false">
      <c r="B23" s="4" t="s">
        <v>214</v>
      </c>
    </row>
    <row r="24" customFormat="false" ht="15" hidden="false" customHeight="true" outlineLevel="0" collapsed="false">
      <c r="B24" s="6" t="s">
        <v>215</v>
      </c>
      <c r="C24" s="42" t="n">
        <f aca="false">((1+Annahmen!$C$9)^Annahmen!$C$7-1)/(Annahmen!$C$9*(1+Annahmen!$C$9)^Annahmen!$C$7)</f>
        <v>5.41719144387819</v>
      </c>
      <c r="E24" s="3" t="s">
        <v>216</v>
      </c>
    </row>
    <row r="25" customFormat="false" ht="15" hidden="false" customHeight="true" outlineLevel="0" collapsed="false">
      <c r="B25" s="6" t="s">
        <v>217</v>
      </c>
      <c r="C25" s="42" t="n">
        <f aca="false">(1-((1+Annahmen!$C$11)/(1+Annahmen!$C$9))^Annahmen!$C$7)/(Annahmen!$C$9-Annahmen!$C$11)</f>
        <v>5.68567033976231</v>
      </c>
      <c r="E25" s="3" t="s">
        <v>218</v>
      </c>
    </row>
    <row r="26" customFormat="false" ht="15" hidden="false" customHeight="true" outlineLevel="0" collapsed="false">
      <c r="B26" s="6" t="s">
        <v>219</v>
      </c>
      <c r="C26" s="42" t="n">
        <f aca="false">((1+Annahmen!$C$9)^Annahmen!$C$67-1)/(Annahmen!$C$9*(1+Annahmen!$C$9)^Annahmen!$C$67)</f>
        <v>1.91346969554152</v>
      </c>
      <c r="E26" s="3"/>
    </row>
    <row r="27" customFormat="false" ht="15" hidden="false" customHeight="true" outlineLevel="0" collapsed="false">
      <c r="B27" s="6" t="s">
        <v>220</v>
      </c>
      <c r="C27" s="42" t="n">
        <f aca="false">(1-((1+Annahmen!$C$11)/(1+Annahmen!$C$9))^Annahmen!$C$67)/(Annahmen!$C$9-Annahmen!$C$11)</f>
        <v>1.9323216137242</v>
      </c>
      <c r="E27" s="3"/>
    </row>
    <row r="29" customFormat="false" ht="15" hidden="false" customHeight="true" outlineLevel="0" collapsed="false">
      <c r="B29" s="40" t="s">
        <v>221</v>
      </c>
      <c r="C29" s="43" t="n">
        <f aca="false">Annahmen!$C$66+$C$27*(Annahmen!$C$6/100*Annahmen!$C$72)+$C$26*(Annahmen!$C$73+Annahmen!$C$74+Annahmen!$C$75)-Annahmen!$C$76/(1+Annahmen!$C$9)^Annahmen!$C$67+(Annahmen!$C$81+Annahmen!$C$41)/(1+Annahmen!$C$9)^Annahmen!$C$67-Annahmen!$C$17*Annahmen!$C$21/(1+Annahmen!$C$9)^(Annahmen!$C$67+Annahmen!$C$19/12)+($C$24-$C$26)*(Annahmen!$C$39+Annahmen!$C$40+Annahmen!$C$42-Annahmen!$C$20)+($C$25-$C$27)*(Annahmen!$C$6/100*Annahmen!$C$36*Annahmen!$C$27)-Annahmen!$C$82/(1+Annahmen!$C$9)^Annahmen!$C$7</f>
        <v>22613.1001013502</v>
      </c>
      <c r="E29" s="3" t="s">
        <v>222</v>
      </c>
    </row>
    <row r="30" customFormat="false" ht="15" hidden="false" customHeight="true" outlineLevel="0" collapsed="false">
      <c r="B30" s="40" t="s">
        <v>223</v>
      </c>
      <c r="C30" s="23" t="n">
        <f aca="false">Annahmen!$C$57-Annahmen!$C$77-Annahmen!$C$60/(1+Annahmen!$C$9)^Annahmen!$C$7+$C$24*(Annahmen!$C$61+Annahmen!$C$62+Annahmen!$C$63)+$C$25*(Annahmen!$C$6/100*Annahmen!$C$58*Annahmen!$C$28)</f>
        <v>28420.5294370834</v>
      </c>
    </row>
    <row r="33" customFormat="false" ht="15" hidden="false" customHeight="true" outlineLevel="0" collapsed="false">
      <c r="B33" s="4" t="s">
        <v>224</v>
      </c>
    </row>
    <row r="34" customFormat="false" ht="15" hidden="false" customHeight="true" outlineLevel="0" collapsed="false">
      <c r="B34" s="3" t="s">
        <v>225</v>
      </c>
    </row>
    <row r="36" customFormat="false" ht="31.5" hidden="false" customHeight="true" outlineLevel="0" collapsed="false">
      <c r="B36" s="41" t="s">
        <v>69</v>
      </c>
      <c r="C36" s="41" t="s">
        <v>179</v>
      </c>
      <c r="D36" s="41" t="s">
        <v>226</v>
      </c>
      <c r="E36" s="41" t="s">
        <v>227</v>
      </c>
      <c r="F36" s="41" t="s">
        <v>228</v>
      </c>
      <c r="G36" s="41" t="s">
        <v>229</v>
      </c>
      <c r="H36" s="41" t="s">
        <v>230</v>
      </c>
      <c r="I36" s="41" t="s">
        <v>231</v>
      </c>
      <c r="J36" s="41" t="s">
        <v>232</v>
      </c>
    </row>
    <row r="37" customFormat="false" ht="15" hidden="false" customHeight="true" outlineLevel="0" collapsed="false">
      <c r="B37" s="38" t="str">
        <f aca="false">B6</f>
        <v>Dacia Spring 45</v>
      </c>
      <c r="C37" s="23" t="n">
        <f aca="false">D6</f>
        <v>18700</v>
      </c>
      <c r="D37" s="23" t="n">
        <f aca="false">I6</f>
        <v>14700</v>
      </c>
      <c r="E37" s="23" t="n">
        <f aca="false">(D6+Annahmen!$C$41)-Annahmen!$C$77-Annahmen!$C$17/(1+Annahmen!$C$10)^Annahmen!$C$19-D6*(1-Annahmen!$C$37)^Annahmen!$C$7/(1+Annahmen!$C$9)^Annahmen!$C$7+$C$24*(Annahmen!$C$39+Annahmen!$C$40+Annahmen!$C$42-Annahmen!$C$20)+$C$25*(Annahmen!$C$6/100*F6*Annahmen!$C$27)</f>
        <v>17009.6045777321</v>
      </c>
      <c r="F37" s="23" t="n">
        <f aca="false">E37/$C$24</f>
        <v>3139.93048869524</v>
      </c>
      <c r="G37" s="18" t="n">
        <f aca="false">F37/Annahmen!$C$6</f>
        <v>0.261660874057936</v>
      </c>
      <c r="H37" s="23" t="n">
        <f aca="false">12*(D6*Annahmen!$C$45/100)*$C$24+Annahmen!$C$49+Annahmen!$C$41-Annahmen!$C$77-Annahmen!$C$17/(1+Annahmen!$C$10)^Annahmen!$C$19+$C$24*(Annahmen!$C$53+Annahmen!$C$54-Annahmen!$C$20)+$C$25*(Annahmen!$C$6/100*F6*Annahmen!$C$27)+Annahmen!$C$52/(1+Annahmen!$C$9)^(Annahmen!$C$47/12)+IF(Annahmen!$C$7&gt;=2*Annahmen!$C$47/12,Annahmen!$C$52/(1+Annahmen!$C$9)^(2*Annahmen!$C$47/12),0)</f>
        <v>17634.1946561</v>
      </c>
      <c r="I37" s="23" t="n">
        <f aca="false">$C$29-E37</f>
        <v>5603.49552361814</v>
      </c>
      <c r="J37" s="9" t="n">
        <f aca="false">RANK(E37,$E$37:$E$51,1)</f>
        <v>1</v>
      </c>
    </row>
    <row r="38" customFormat="false" ht="15" hidden="false" customHeight="true" outlineLevel="0" collapsed="false">
      <c r="B38" s="38" t="str">
        <f aca="false">B7</f>
        <v>Leapmotor T03</v>
      </c>
      <c r="C38" s="23" t="n">
        <f aca="false">D7</f>
        <v>18900</v>
      </c>
      <c r="D38" s="23" t="n">
        <f aca="false">I7</f>
        <v>14900</v>
      </c>
      <c r="E38" s="23" t="n">
        <f aca="false">(D7+Annahmen!$C$41)-Annahmen!$C$77-Annahmen!$C$17/(1+Annahmen!$C$10)^Annahmen!$C$19-D7*(1-Annahmen!$C$37)^Annahmen!$C$7/(1+Annahmen!$C$9)^Annahmen!$C$7+$C$24*(Annahmen!$C$39+Annahmen!$C$40+Annahmen!$C$42-Annahmen!$C$20)+$C$25*(Annahmen!$C$6/100*F7*Annahmen!$C$27)</f>
        <v>17681.8186832551</v>
      </c>
      <c r="F38" s="23" t="n">
        <f aca="false">E38/$C$24</f>
        <v>3264.01953234214</v>
      </c>
      <c r="G38" s="18" t="n">
        <f aca="false">F38/Annahmen!$C$6</f>
        <v>0.272001627695178</v>
      </c>
      <c r="H38" s="23" t="n">
        <f aca="false">12*(D7*Annahmen!$C$45/100)*$C$24+Annahmen!$C$49+Annahmen!$C$41-Annahmen!$C$77-Annahmen!$C$17/(1+Annahmen!$C$10)^Annahmen!$C$19+$C$24*(Annahmen!$C$53+Annahmen!$C$54-Annahmen!$C$20)+$C$25*(Annahmen!$C$6/100*F7*Annahmen!$C$27)+Annahmen!$C$52/(1+Annahmen!$C$9)^(Annahmen!$C$47/12)+IF(Annahmen!$C$7&gt;=2*Annahmen!$C$47/12,Annahmen!$C$52/(1+Annahmen!$C$9)^(2*Annahmen!$C$47/12),0)</f>
        <v>18299.5927126264</v>
      </c>
      <c r="I38" s="23" t="n">
        <f aca="false">$C$29-E38</f>
        <v>4931.28141809512</v>
      </c>
      <c r="J38" s="9" t="n">
        <f aca="false">RANK(E38,$E$37:$E$51,1)</f>
        <v>3</v>
      </c>
    </row>
    <row r="39" customFormat="false" ht="15" hidden="false" customHeight="true" outlineLevel="0" collapsed="false">
      <c r="B39" s="38" t="str">
        <f aca="false">B8</f>
        <v>Renault Twingo E-Tech</v>
      </c>
      <c r="C39" s="23" t="n">
        <f aca="false">D8</f>
        <v>19900</v>
      </c>
      <c r="D39" s="23" t="n">
        <f aca="false">I8</f>
        <v>15900</v>
      </c>
      <c r="E39" s="23" t="n">
        <f aca="false">(D8+Annahmen!$C$41)-Annahmen!$C$77-Annahmen!$C$17/(1+Annahmen!$C$10)^Annahmen!$C$19-D8*(1-Annahmen!$C$37)^Annahmen!$C$7/(1+Annahmen!$C$9)^Annahmen!$C$7+$C$24*(Annahmen!$C$39+Annahmen!$C$40+Annahmen!$C$42-Annahmen!$C$20)+$C$25*(Annahmen!$C$6/100*F8*Annahmen!$C$27)</f>
        <v>17661.5073464068</v>
      </c>
      <c r="F39" s="23" t="n">
        <f aca="false">E39/$C$24</f>
        <v>3260.27011032913</v>
      </c>
      <c r="G39" s="18" t="n">
        <f aca="false">F39/Annahmen!$C$6</f>
        <v>0.271689175860761</v>
      </c>
      <c r="H39" s="23" t="n">
        <f aca="false">12*(D8*Annahmen!$C$45/100)*$C$24+Annahmen!$C$49+Annahmen!$C$41-Annahmen!$C$77-Annahmen!$C$17/(1+Annahmen!$C$10)^Annahmen!$C$19+$C$24*(Annahmen!$C$53+Annahmen!$C$54-Annahmen!$C$20)+$C$25*(Annahmen!$C$6/100*F8*Annahmen!$C$27)+Annahmen!$C$52/(1+Annahmen!$C$9)^(Annahmen!$C$47/12)+IF(Annahmen!$C$7&gt;=2*Annahmen!$C$47/12,Annahmen!$C$52/(1+Annahmen!$C$9)^(2*Annahmen!$C$47/12),0)</f>
        <v>18245.2011307953</v>
      </c>
      <c r="I39" s="23" t="n">
        <f aca="false">$C$29-E39</f>
        <v>4951.59275494348</v>
      </c>
      <c r="J39" s="9" t="n">
        <f aca="false">RANK(E39,$E$37:$E$51,1)</f>
        <v>2</v>
      </c>
    </row>
    <row r="40" customFormat="false" ht="15" hidden="false" customHeight="true" outlineLevel="0" collapsed="false">
      <c r="B40" s="38" t="str">
        <f aca="false">B9</f>
        <v>Citroën ë-C3</v>
      </c>
      <c r="C40" s="23" t="n">
        <f aca="false">D9</f>
        <v>19990</v>
      </c>
      <c r="D40" s="23" t="n">
        <f aca="false">I9</f>
        <v>15990</v>
      </c>
      <c r="E40" s="23" t="n">
        <f aca="false">(D9+Annahmen!$C$41)-Annahmen!$C$77-Annahmen!$C$17/(1+Annahmen!$C$10)^Annahmen!$C$19-D9*(1-Annahmen!$C$37)^Annahmen!$C$7/(1+Annahmen!$C$9)^Annahmen!$C$7+$C$24*(Annahmen!$C$39+Annahmen!$C$40+Annahmen!$C$42-Annahmen!$C$20)+$C$25*(Annahmen!$C$6/100*F9*Annahmen!$C$27)</f>
        <v>18568.425702165</v>
      </c>
      <c r="F40" s="23" t="n">
        <f aca="false">E40/$C$24</f>
        <v>3427.68497191448</v>
      </c>
      <c r="G40" s="18" t="n">
        <f aca="false">F40/Annahmen!$C$6</f>
        <v>0.285640414326206</v>
      </c>
      <c r="H40" s="23" t="n">
        <f aca="false">12*(D9*Annahmen!$C$45/100)*$C$24+Annahmen!$C$49+Annahmen!$C$41-Annahmen!$C$77-Annahmen!$C$17/(1+Annahmen!$C$10)^Annahmen!$C$19+$C$24*(Annahmen!$C$53+Annahmen!$C$54-Annahmen!$C$20)+$C$25*(Annahmen!$C$6/100*F9*Annahmen!$C$27)+Annahmen!$C$52/(1+Annahmen!$C$9)^(Annahmen!$C$47/12)+IF(Annahmen!$C$7&gt;=2*Annahmen!$C$47/12,Annahmen!$C$52/(1+Annahmen!$C$9)^(2*Annahmen!$C$47/12),0)</f>
        <v>19149.052264505</v>
      </c>
      <c r="I40" s="23" t="n">
        <f aca="false">$C$29-E40</f>
        <v>4044.67439918528</v>
      </c>
      <c r="J40" s="9" t="n">
        <f aca="false">RANK(E40,$E$37:$E$51,1)</f>
        <v>4</v>
      </c>
    </row>
    <row r="41" customFormat="false" ht="15" hidden="false" customHeight="true" outlineLevel="0" collapsed="false">
      <c r="B41" s="38" t="str">
        <f aca="false">B10</f>
        <v>BYD Dolphin Surf</v>
      </c>
      <c r="C41" s="23" t="n">
        <f aca="false">D10</f>
        <v>22990</v>
      </c>
      <c r="D41" s="23" t="n">
        <f aca="false">I10</f>
        <v>18990</v>
      </c>
      <c r="E41" s="23" t="n">
        <f aca="false">(D10+Annahmen!$C$41)-Annahmen!$C$77-Annahmen!$C$17/(1+Annahmen!$C$10)^Annahmen!$C$19-D10*(1-Annahmen!$C$37)^Annahmen!$C$7/(1+Annahmen!$C$9)^Annahmen!$C$7+$C$24*(Annahmen!$C$39+Annahmen!$C$40+Annahmen!$C$42-Annahmen!$C$20)+$C$25*(Annahmen!$C$6/100*F10*Annahmen!$C$27)</f>
        <v>20339.0735348709</v>
      </c>
      <c r="F41" s="23" t="n">
        <f aca="false">E41/$C$24</f>
        <v>3754.54213600952</v>
      </c>
      <c r="G41" s="18" t="n">
        <f aca="false">F41/Annahmen!$C$6</f>
        <v>0.312878511334127</v>
      </c>
      <c r="H41" s="23" t="n">
        <f aca="false">12*(D10*Annahmen!$C$45/100)*$C$24+Annahmen!$C$49+Annahmen!$C$41-Annahmen!$C$77-Annahmen!$C$17/(1+Annahmen!$C$10)^Annahmen!$C$19+$C$24*(Annahmen!$C$53+Annahmen!$C$54-Annahmen!$C$20)+$C$25*(Annahmen!$C$6/100*F10*Annahmen!$C$27)+Annahmen!$C$52/(1+Annahmen!$C$9)^(Annahmen!$C$47/12)+IF(Annahmen!$C$7&gt;=2*Annahmen!$C$47/12,Annahmen!$C$52/(1+Annahmen!$C$9)^(2*Annahmen!$C$47/12),0)</f>
        <v>20817.4593622625</v>
      </c>
      <c r="I41" s="23" t="n">
        <f aca="false">$C$29-E41</f>
        <v>2274.02656647931</v>
      </c>
      <c r="J41" s="9" t="n">
        <f aca="false">RANK(E41,$E$37:$E$51,1)</f>
        <v>5</v>
      </c>
    </row>
    <row r="42" customFormat="false" ht="15" hidden="false" customHeight="true" outlineLevel="0" collapsed="false">
      <c r="B42" s="38" t="str">
        <f aca="false">B11</f>
        <v>Hyundai Inster</v>
      </c>
      <c r="C42" s="23" t="n">
        <f aca="false">D11</f>
        <v>23900</v>
      </c>
      <c r="D42" s="23" t="n">
        <f aca="false">I11</f>
        <v>19900</v>
      </c>
      <c r="E42" s="23" t="n">
        <f aca="false">(D11+Annahmen!$C$41)-Annahmen!$C$77-Annahmen!$C$17/(1+Annahmen!$C$10)^Annahmen!$C$19-D11*(1-Annahmen!$C$37)^Annahmen!$C$7/(1+Annahmen!$C$9)^Annahmen!$C$7+$C$24*(Annahmen!$C$39+Annahmen!$C$40+Annahmen!$C$42-Annahmen!$C$20)+$C$25*(Annahmen!$C$6/100*F11*Annahmen!$C$27)</f>
        <v>20708.040223642</v>
      </c>
      <c r="F42" s="23" t="n">
        <f aca="false">E42/$C$24</f>
        <v>3822.65246450605</v>
      </c>
      <c r="G42" s="18" t="n">
        <f aca="false">F42/Annahmen!$C$6</f>
        <v>0.31855437204217</v>
      </c>
      <c r="H42" s="23" t="n">
        <f aca="false">12*(D11*Annahmen!$C$45/100)*$C$24+Annahmen!$C$49+Annahmen!$C$41-Annahmen!$C$77-Annahmen!$C$17/(1+Annahmen!$C$10)^Annahmen!$C$19+$C$24*(Annahmen!$C$53+Annahmen!$C$54-Annahmen!$C$20)+$C$25*(Annahmen!$C$6/100*F11*Annahmen!$C$27)+Annahmen!$C$52/(1+Annahmen!$C$9)^(Annahmen!$C$47/12)+IF(Annahmen!$C$7&gt;=2*Annahmen!$C$47/12,Annahmen!$C$52/(1+Annahmen!$C$9)^(2*Annahmen!$C$47/12),0)</f>
        <v>21155.4130280993</v>
      </c>
      <c r="I42" s="23" t="n">
        <f aca="false">$C$29-E42</f>
        <v>1905.05987770821</v>
      </c>
      <c r="J42" s="9" t="n">
        <f aca="false">RANK(E42,$E$37:$E$51,1)</f>
        <v>6</v>
      </c>
    </row>
    <row r="43" customFormat="false" ht="15" hidden="false" customHeight="true" outlineLevel="0" collapsed="false">
      <c r="B43" s="38" t="str">
        <f aca="false">B12</f>
        <v>Fiat Grande Panda</v>
      </c>
      <c r="C43" s="23" t="n">
        <f aca="false">D12</f>
        <v>24990</v>
      </c>
      <c r="D43" s="23" t="n">
        <f aca="false">I12</f>
        <v>20990</v>
      </c>
      <c r="E43" s="23" t="n">
        <f aca="false">(D12+Annahmen!$C$41)-Annahmen!$C$77-Annahmen!$C$17/(1+Annahmen!$C$10)^Annahmen!$C$19-D12*(1-Annahmen!$C$37)^Annahmen!$C$7/(1+Annahmen!$C$9)^Annahmen!$C$7+$C$24*(Annahmen!$C$39+Annahmen!$C$40+Annahmen!$C$42-Annahmen!$C$20)+$C$25*(Annahmen!$C$6/100*F12*Annahmen!$C$27)</f>
        <v>21989.1417934059</v>
      </c>
      <c r="F43" s="23" t="n">
        <f aca="false">E43/$C$24</f>
        <v>4059.14061210726</v>
      </c>
      <c r="G43" s="18" t="n">
        <f aca="false">F43/Annahmen!$C$6</f>
        <v>0.338261717675605</v>
      </c>
      <c r="H43" s="23" t="n">
        <f aca="false">12*(D12*Annahmen!$C$45/100)*$C$24+Annahmen!$C$49+Annahmen!$C$41-Annahmen!$C$77-Annahmen!$C$17/(1+Annahmen!$C$10)^Annahmen!$C$19+$C$24*(Annahmen!$C$53+Annahmen!$C$54-Annahmen!$C$20)+$C$25*(Annahmen!$C$6/100*F12*Annahmen!$C$27)+Annahmen!$C$52/(1+Annahmen!$C$9)^(Annahmen!$C$47/12)+IF(Annahmen!$C$7&gt;=2*Annahmen!$C$47/12,Annahmen!$C$52/(1+Annahmen!$C$9)^(2*Annahmen!$C$47/12),0)</f>
        <v>22399.3671308319</v>
      </c>
      <c r="I43" s="23" t="n">
        <f aca="false">$C$29-E43</f>
        <v>623.958307944293</v>
      </c>
      <c r="J43" s="9" t="n">
        <f aca="false">RANK(E43,$E$37:$E$51,1)</f>
        <v>8</v>
      </c>
    </row>
    <row r="44" customFormat="false" ht="15" hidden="false" customHeight="true" outlineLevel="0" collapsed="false">
      <c r="B44" s="38" t="str">
        <f aca="false">B13</f>
        <v>VW ID.Polo</v>
      </c>
      <c r="C44" s="23" t="n">
        <f aca="false">D13</f>
        <v>24995</v>
      </c>
      <c r="D44" s="23" t="n">
        <f aca="false">I13</f>
        <v>20995</v>
      </c>
      <c r="E44" s="23" t="n">
        <f aca="false">(D13+Annahmen!$C$41)-Annahmen!$C$77-Annahmen!$C$17/(1+Annahmen!$C$10)^Annahmen!$C$19-D13*(1-Annahmen!$C$37)^Annahmen!$C$7/(1+Annahmen!$C$9)^Annahmen!$C$7+$C$24*(Annahmen!$C$39+Annahmen!$C$40+Annahmen!$C$42-Annahmen!$C$20)+$C$25*(Annahmen!$C$6/100*F13*Annahmen!$C$27)</f>
        <v>21288.1079544006</v>
      </c>
      <c r="F44" s="23" t="n">
        <f aca="false">E44/$C$24</f>
        <v>3929.73151769589</v>
      </c>
      <c r="G44" s="18" t="n">
        <f aca="false">F44/Annahmen!$C$6</f>
        <v>0.327477626474657</v>
      </c>
      <c r="H44" s="23" t="n">
        <f aca="false">12*(D13*Annahmen!$C$45/100)*$C$24+Annahmen!$C$49+Annahmen!$C$41-Annahmen!$C$77-Annahmen!$C$17/(1+Annahmen!$C$10)^Annahmen!$C$19+$C$24*(Annahmen!$C$53+Annahmen!$C$54-Annahmen!$C$20)+$C$25*(Annahmen!$C$6/100*F13*Annahmen!$C$27)+Annahmen!$C$52/(1+Annahmen!$C$9)^(Annahmen!$C$47/12)+IF(Annahmen!$C$7&gt;=2*Annahmen!$C$47/12,Annahmen!$C$52/(1+Annahmen!$C$9)^(2*Annahmen!$C$47/12),0)</f>
        <v>21698.1628906017</v>
      </c>
      <c r="I44" s="23" t="n">
        <f aca="false">$C$29-E44</f>
        <v>1324.9921469496</v>
      </c>
      <c r="J44" s="9" t="n">
        <f aca="false">RANK(E44,$E$37:$E$51,1)</f>
        <v>7</v>
      </c>
    </row>
    <row r="45" customFormat="false" ht="15" hidden="false" customHeight="true" outlineLevel="0" collapsed="false">
      <c r="B45" s="38" t="str">
        <f aca="false">B14</f>
        <v>Skoda Epiq</v>
      </c>
      <c r="C45" s="23" t="n">
        <f aca="false">D14</f>
        <v>25900</v>
      </c>
      <c r="D45" s="23" t="n">
        <f aca="false">I14</f>
        <v>21900</v>
      </c>
      <c r="E45" s="23" t="n">
        <f aca="false">(D14+Annahmen!$C$41)-Annahmen!$C$77-Annahmen!$C$17/(1+Annahmen!$C$10)^Annahmen!$C$19-D14*(1-Annahmen!$C$37)^Annahmen!$C$7/(1+Annahmen!$C$9)^Annahmen!$C$7+$C$24*(Annahmen!$C$39+Annahmen!$C$40+Annahmen!$C$42-Annahmen!$C$20)+$C$25*(Annahmen!$C$6/100*F14*Annahmen!$C$27)</f>
        <v>22189.0393889539</v>
      </c>
      <c r="F45" s="23" t="n">
        <f aca="false">E45/$C$24</f>
        <v>4096.04120859141</v>
      </c>
      <c r="G45" s="18" t="n">
        <f aca="false">F45/Annahmen!$C$6</f>
        <v>0.341336767382618</v>
      </c>
      <c r="H45" s="23" t="n">
        <f aca="false">12*(D14*Annahmen!$C$45/100)*$C$24+Annahmen!$C$49+Annahmen!$C$41-Annahmen!$C$77-Annahmen!$C$17/(1+Annahmen!$C$10)^Annahmen!$C$19+$C$24*(Annahmen!$C$53+Annahmen!$C$54-Annahmen!$C$20)+$C$25*(Annahmen!$C$6/100*F14*Annahmen!$C$27)+Annahmen!$C$52/(1+Annahmen!$C$9)^(Annahmen!$C$47/12)+IF(Annahmen!$C$7&gt;=2*Annahmen!$C$47/12,Annahmen!$C$52/(1+Annahmen!$C$9)^(2*Annahmen!$C$47/12),0)</f>
        <v>22568.2517034455</v>
      </c>
      <c r="I45" s="23" t="n">
        <f aca="false">$C$29-E45</f>
        <v>424.060712396367</v>
      </c>
      <c r="J45" s="9" t="n">
        <f aca="false">RANK(E45,$E$37:$E$51,1)</f>
        <v>9</v>
      </c>
    </row>
    <row r="46" customFormat="false" ht="15" hidden="false" customHeight="true" outlineLevel="0" collapsed="false">
      <c r="B46" s="38" t="str">
        <f aca="false">B15</f>
        <v>Renault 5 E-Tech</v>
      </c>
      <c r="C46" s="23" t="n">
        <f aca="false">D15</f>
        <v>28000</v>
      </c>
      <c r="D46" s="23" t="n">
        <f aca="false">I15</f>
        <v>24000</v>
      </c>
      <c r="E46" s="23" t="n">
        <f aca="false">(D15+Annahmen!$C$41)-Annahmen!$C$77-Annahmen!$C$17/(1+Annahmen!$C$10)^Annahmen!$C$19-D15*(1-Annahmen!$C$37)^Annahmen!$C$7/(1+Annahmen!$C$9)^Annahmen!$C$7+$C$24*(Annahmen!$C$39+Annahmen!$C$40+Annahmen!$C$42-Annahmen!$C$20)+$C$25*(Annahmen!$C$6/100*F15*Annahmen!$C$27)</f>
        <v>23484.8492362558</v>
      </c>
      <c r="F46" s="23" t="n">
        <f aca="false">E46/$C$24</f>
        <v>4335.24446746207</v>
      </c>
      <c r="G46" s="18" t="n">
        <f aca="false">F46/Annahmen!$C$6</f>
        <v>0.361270372288506</v>
      </c>
      <c r="H46" s="23" t="n">
        <f aca="false">12*(D15*Annahmen!$C$45/100)*$C$24+Annahmen!$C$49+Annahmen!$C$41-Annahmen!$C$77-Annahmen!$C$17/(1+Annahmen!$C$10)^Annahmen!$C$19+$C$24*(Annahmen!$C$53+Annahmen!$C$54-Annahmen!$C$20)+$C$25*(Annahmen!$C$6/100*F15*Annahmen!$C$27)+Annahmen!$C$52/(1+Annahmen!$C$9)^(Annahmen!$C$47/12)+IF(Annahmen!$C$7&gt;=2*Annahmen!$C$47/12,Annahmen!$C$52/(1+Annahmen!$C$9)^(2*Annahmen!$C$47/12),0)</f>
        <v>23792.4930362835</v>
      </c>
      <c r="I46" s="23" t="n">
        <f aca="false">$C$29-E46</f>
        <v>-871.749134905534</v>
      </c>
      <c r="J46" s="9" t="n">
        <f aca="false">RANK(E46,$E$37:$E$51,1)</f>
        <v>10</v>
      </c>
    </row>
    <row r="47" customFormat="false" ht="15" hidden="false" customHeight="true" outlineLevel="0" collapsed="false">
      <c r="B47" s="38" t="str">
        <f aca="false">B16</f>
        <v>Opel Frontera Electric</v>
      </c>
      <c r="C47" s="23" t="n">
        <f aca="false">D16</f>
        <v>28990</v>
      </c>
      <c r="D47" s="23" t="n">
        <f aca="false">I16</f>
        <v>24990</v>
      </c>
      <c r="E47" s="23" t="n">
        <f aca="false">(D16+Annahmen!$C$41)-Annahmen!$C$77-Annahmen!$C$17/(1+Annahmen!$C$10)^Annahmen!$C$19-D16*(1-Annahmen!$C$37)^Annahmen!$C$7/(1+Annahmen!$C$9)^Annahmen!$C$7+$C$24*(Annahmen!$C$39+Annahmen!$C$40+Annahmen!$C$42-Annahmen!$C$20)+$C$25*(Annahmen!$C$6/100*F16*Annahmen!$C$27)</f>
        <v>25148.3873994567</v>
      </c>
      <c r="F47" s="23" t="n">
        <f aca="false">E47/$C$24</f>
        <v>4642.32945429243</v>
      </c>
      <c r="G47" s="18" t="n">
        <f aca="false">F47/Annahmen!$C$6</f>
        <v>0.386860787857702</v>
      </c>
      <c r="H47" s="23" t="n">
        <f aca="false">12*(D16*Annahmen!$C$45/100)*$C$24+Annahmen!$C$49+Annahmen!$C$41-Annahmen!$C$77-Annahmen!$C$17/(1+Annahmen!$C$10)^Annahmen!$C$19+$C$24*(Annahmen!$C$53+Annahmen!$C$54-Annahmen!$C$20)+$C$25*(Annahmen!$C$6/100*F16*Annahmen!$C$27)+Annahmen!$C$52/(1+Annahmen!$C$9)^(Annahmen!$C$47/12)+IF(Annahmen!$C$7&gt;=2*Annahmen!$C$47/12,Annahmen!$C$52/(1+Annahmen!$C$9)^(2*Annahmen!$C$47/12),0)</f>
        <v>25422.2917569514</v>
      </c>
      <c r="I47" s="23" t="n">
        <f aca="false">$C$29-E47</f>
        <v>-2535.28729810642</v>
      </c>
      <c r="J47" s="9" t="n">
        <f aca="false">RANK(E47,$E$37:$E$51,1)</f>
        <v>11</v>
      </c>
    </row>
    <row r="48" customFormat="false" ht="15" hidden="false" customHeight="true" outlineLevel="0" collapsed="false">
      <c r="B48" s="38" t="str">
        <f aca="false">B17</f>
        <v>Hyundai Ioniq 3</v>
      </c>
      <c r="C48" s="23" t="n">
        <f aca="false">D17</f>
        <v>35000</v>
      </c>
      <c r="D48" s="23" t="n">
        <f aca="false">I17</f>
        <v>31000</v>
      </c>
      <c r="E48" s="23" t="n">
        <f aca="false">(D17+Annahmen!$C$41)-Annahmen!$C$77-Annahmen!$C$17/(1+Annahmen!$C$10)^Annahmen!$C$19-D17*(1-Annahmen!$C$37)^Annahmen!$C$7/(1+Annahmen!$C$9)^Annahmen!$C$7+$C$24*(Annahmen!$C$39+Annahmen!$C$40+Annahmen!$C$42-Annahmen!$C$20)+$C$25*(Annahmen!$C$6/100*F17*Annahmen!$C$27)</f>
        <v>28132.9608529738</v>
      </c>
      <c r="F48" s="23" t="n">
        <f aca="false">E48/$C$24</f>
        <v>5193.27425372165</v>
      </c>
      <c r="G48" s="18" t="n">
        <f aca="false">F48/Annahmen!$C$6</f>
        <v>0.432772854476805</v>
      </c>
      <c r="H48" s="23" t="n">
        <f aca="false">12*(D17*Annahmen!$C$45/100)*$C$24+Annahmen!$C$49+Annahmen!$C$41-Annahmen!$C$77-Annahmen!$C$17/(1+Annahmen!$C$10)^Annahmen!$C$19+$C$24*(Annahmen!$C$53+Annahmen!$C$54-Annahmen!$C$20)+$C$25*(Annahmen!$C$6/100*F17*Annahmen!$C$27)+Annahmen!$C$52/(1+Annahmen!$C$9)^(Annahmen!$C$47/12)+IF(Annahmen!$C$7&gt;=2*Annahmen!$C$47/12,Annahmen!$C$52/(1+Annahmen!$C$9)^(2*Annahmen!$C$47/12),0)</f>
        <v>28202.0429381219</v>
      </c>
      <c r="I48" s="23" t="n">
        <f aca="false">$C$29-E48</f>
        <v>-5519.86075162361</v>
      </c>
      <c r="J48" s="9" t="n">
        <f aca="false">RANK(E48,$E$37:$E$51,1)</f>
        <v>12</v>
      </c>
    </row>
    <row r="49" customFormat="false" ht="15" hidden="false" customHeight="true" outlineLevel="0" collapsed="false">
      <c r="B49" s="38" t="str">
        <f aca="false">B18</f>
        <v>Kia EV3 Air (58 kWh)</v>
      </c>
      <c r="C49" s="23" t="n">
        <f aca="false">D18</f>
        <v>35990</v>
      </c>
      <c r="D49" s="23" t="n">
        <f aca="false">I18</f>
        <v>31990</v>
      </c>
      <c r="E49" s="23" t="n">
        <f aca="false">(D18+Annahmen!$C$41)-Annahmen!$C$77-Annahmen!$C$17/(1+Annahmen!$C$10)^Annahmen!$C$19-D18*(1-Annahmen!$C$37)^Annahmen!$C$7/(1+Annahmen!$C$9)^Annahmen!$C$7+$C$24*(Annahmen!$C$39+Annahmen!$C$40+Annahmen!$C$42-Annahmen!$C$20)+$C$25*(Annahmen!$C$6/100*F18*Annahmen!$C$27)</f>
        <v>28951.1535500589</v>
      </c>
      <c r="F49" s="23" t="n">
        <f aca="false">E49/$C$24</f>
        <v>5344.31058049014</v>
      </c>
      <c r="G49" s="18" t="n">
        <f aca="false">F49/Annahmen!$C$6</f>
        <v>0.445359215040845</v>
      </c>
      <c r="H49" s="23" t="n">
        <f aca="false">12*(D18*Annahmen!$C$45/100)*$C$24+Annahmen!$C$49+Annahmen!$C$41-Annahmen!$C$77-Annahmen!$C$17/(1+Annahmen!$C$10)^Annahmen!$C$19+$C$24*(Annahmen!$C$53+Annahmen!$C$54-Annahmen!$C$20)+$C$25*(Annahmen!$C$6/100*F18*Annahmen!$C$27)+Annahmen!$C$52/(1+Annahmen!$C$9)^(Annahmen!$C$47/12)+IF(Annahmen!$C$7&gt;=2*Annahmen!$C$47/12,Annahmen!$C$52/(1+Annahmen!$C$9)^(2*Annahmen!$C$47/12),0)</f>
        <v>28986.4961926739</v>
      </c>
      <c r="I49" s="23" t="n">
        <f aca="false">$C$29-E49</f>
        <v>-6338.05344870863</v>
      </c>
      <c r="J49" s="9" t="n">
        <f aca="false">RANK(E49,$E$37:$E$51,1)</f>
        <v>13</v>
      </c>
    </row>
    <row r="50" customFormat="false" ht="15" hidden="false" customHeight="true" outlineLevel="0" collapsed="false">
      <c r="B50" s="38" t="str">
        <f aca="false">B19</f>
        <v>Skoda Elroq 60</v>
      </c>
      <c r="C50" s="23" t="n">
        <f aca="false">D19</f>
        <v>37990</v>
      </c>
      <c r="D50" s="23" t="n">
        <f aca="false">I19</f>
        <v>33990</v>
      </c>
      <c r="E50" s="23" t="n">
        <f aca="false">(D19+Annahmen!$C$41)-Annahmen!$C$77-Annahmen!$C$17/(1+Annahmen!$C$10)^Annahmen!$C$19-D19*(1-Annahmen!$C$37)^Annahmen!$C$7/(1+Annahmen!$C$9)^Annahmen!$C$7+$C$24*(Annahmen!$C$39+Annahmen!$C$40+Annahmen!$C$42-Annahmen!$C$20)+$C$25*(Annahmen!$C$6/100*F19*Annahmen!$C$27)</f>
        <v>30460.3308975746</v>
      </c>
      <c r="F50" s="23" t="n">
        <f aca="false">E50/$C$24</f>
        <v>5622.90094657756</v>
      </c>
      <c r="G50" s="18" t="n">
        <f aca="false">F50/Annahmen!$C$6</f>
        <v>0.468575078881464</v>
      </c>
      <c r="H50" s="23" t="n">
        <f aca="false">12*(D19*Annahmen!$C$45/100)*$C$24+Annahmen!$C$49+Annahmen!$C$41-Annahmen!$C$77-Annahmen!$C$17/(1+Annahmen!$C$10)^Annahmen!$C$19+$C$24*(Annahmen!$C$53+Annahmen!$C$54-Annahmen!$C$20)+$C$25*(Annahmen!$C$6/100*F19*Annahmen!$C$27)+Annahmen!$C$52/(1+Annahmen!$C$9)^(Annahmen!$C$47/12)+IF(Annahmen!$C$7&gt;=2*Annahmen!$C$47/12,Annahmen!$C$52/(1+Annahmen!$C$9)^(2*Annahmen!$C$47/12),0)</f>
        <v>30427.513050224</v>
      </c>
      <c r="I50" s="23" t="n">
        <f aca="false">$C$29-E50</f>
        <v>-7847.23079622433</v>
      </c>
      <c r="J50" s="9" t="n">
        <f aca="false">RANK(E50,$E$37:$E$51,1)</f>
        <v>14</v>
      </c>
    </row>
    <row r="51" customFormat="false" ht="15" hidden="false" customHeight="true" outlineLevel="0" collapsed="false">
      <c r="B51" s="38" t="str">
        <f aca="false">B20</f>
        <v>Kia EV3 LR (81 kWh)</v>
      </c>
      <c r="C51" s="23" t="n">
        <f aca="false">D20</f>
        <v>43890</v>
      </c>
      <c r="D51" s="23" t="n">
        <f aca="false">I20</f>
        <v>39890</v>
      </c>
      <c r="E51" s="23" t="n">
        <f aca="false">(D20+Annahmen!$C$41)-Annahmen!$C$77-Annahmen!$C$17/(1+Annahmen!$C$10)^Annahmen!$C$19-D20*(1-Annahmen!$C$37)^Annahmen!$C$7/(1+Annahmen!$C$9)^Annahmen!$C$7+$C$24*(Annahmen!$C$39+Annahmen!$C$40+Annahmen!$C$42-Annahmen!$C$20)+$C$25*(Annahmen!$C$6/100*F20*Annahmen!$C$27)</f>
        <v>34637.6667962582</v>
      </c>
      <c r="F51" s="23" t="n">
        <f aca="false">E51/$C$24</f>
        <v>6394.02671201537</v>
      </c>
      <c r="G51" s="18" t="n">
        <f aca="false">F51/Annahmen!$C$6</f>
        <v>0.532835559334614</v>
      </c>
      <c r="H51" s="23" t="n">
        <f aca="false">12*(D20*Annahmen!$C$45/100)*$C$24+Annahmen!$C$49+Annahmen!$C$41-Annahmen!$C$77-Annahmen!$C$17/(1+Annahmen!$C$10)^Annahmen!$C$19+$C$24*(Annahmen!$C$53+Annahmen!$C$54-Annahmen!$C$20)+$C$25*(Annahmen!$C$6/100*F20*Annahmen!$C$27)+Annahmen!$C$52/(1+Annahmen!$C$9)^(Annahmen!$C$47/12)+IF(Annahmen!$C$7&gt;=2*Annahmen!$C$47/12,Annahmen!$C$52/(1+Annahmen!$C$9)^(2*Annahmen!$C$47/12),0)</f>
        <v>34403.7755035091</v>
      </c>
      <c r="I51" s="23" t="n">
        <f aca="false">$C$29-E51</f>
        <v>-12024.566694908</v>
      </c>
      <c r="J51" s="9" t="n">
        <f aca="false">RANK(E51,$E$37:$E$51,1)</f>
        <v>15</v>
      </c>
    </row>
    <row r="52" customFormat="false" ht="15" hidden="false" customHeight="true" outlineLevel="0" collapsed="false">
      <c r="B52" s="44" t="s">
        <v>233</v>
      </c>
      <c r="C52" s="45"/>
      <c r="D52" s="45"/>
      <c r="E52" s="46" t="n">
        <f aca="false">$C$29</f>
        <v>22613.1001013502</v>
      </c>
      <c r="F52" s="47" t="n">
        <f aca="false">E52/$C$24</f>
        <v>4174.3217561389</v>
      </c>
      <c r="G52" s="48" t="n">
        <f aca="false">F52/Annahmen!$C$6</f>
        <v>0.347860146344908</v>
      </c>
      <c r="H52" s="45"/>
      <c r="I52" s="49" t="n">
        <v>0</v>
      </c>
      <c r="J52" s="45"/>
    </row>
    <row r="53" customFormat="false" ht="15" hidden="false" customHeight="true" outlineLevel="0" collapsed="false">
      <c r="B53" s="44" t="s">
        <v>234</v>
      </c>
      <c r="C53" s="45"/>
      <c r="D53" s="45"/>
      <c r="E53" s="47" t="n">
        <f aca="false">$C$30</f>
        <v>28420.5294370834</v>
      </c>
      <c r="F53" s="47" t="n">
        <f aca="false">E53/$C$24</f>
        <v>5246.35869555628</v>
      </c>
      <c r="G53" s="48" t="n">
        <f aca="false">F53/Annahmen!$C$6</f>
        <v>0.437196557963023</v>
      </c>
      <c r="H53" s="45"/>
      <c r="I53" s="49" t="n">
        <f aca="false">$C$29-E53</f>
        <v>-5807.42933573318</v>
      </c>
      <c r="J53" s="45"/>
    </row>
    <row r="55" customFormat="false" ht="15" hidden="false" customHeight="true" outlineLevel="0" collapsed="false">
      <c r="B55" s="3" t="s">
        <v>235</v>
      </c>
    </row>
    <row r="56" customFormat="false" ht="15" hidden="false" customHeight="true" outlineLevel="0" collapsed="false">
      <c r="B56" s="3" t="s">
        <v>236</v>
      </c>
    </row>
    <row r="58" customFormat="false" ht="15" hidden="false" customHeight="false" outlineLevel="0" collapsed="false">
      <c r="B58" s="50" t="s">
        <v>237</v>
      </c>
    </row>
    <row r="59" customFormat="false" ht="15" hidden="false" customHeight="false" outlineLevel="0" collapsed="false">
      <c r="B59" s="28" t="s">
        <v>238</v>
      </c>
    </row>
    <row r="61" customFormat="false" ht="31.5" hidden="false" customHeight="true" outlineLevel="0" collapsed="false">
      <c r="B61" s="41" t="s">
        <v>239</v>
      </c>
      <c r="C61" s="41" t="s">
        <v>240</v>
      </c>
      <c r="D61" s="41" t="s">
        <v>180</v>
      </c>
      <c r="E61" s="41" t="s">
        <v>181</v>
      </c>
      <c r="F61" s="41" t="s">
        <v>227</v>
      </c>
      <c r="G61" s="41" t="s">
        <v>241</v>
      </c>
      <c r="H61" s="41" t="s">
        <v>229</v>
      </c>
      <c r="I61" s="41" t="s">
        <v>242</v>
      </c>
      <c r="J61" s="41" t="s">
        <v>187</v>
      </c>
    </row>
    <row r="62" customFormat="false" ht="15" hidden="false" customHeight="false" outlineLevel="0" collapsed="false">
      <c r="B62" s="51" t="s">
        <v>243</v>
      </c>
      <c r="C62" s="35" t="n">
        <v>16750</v>
      </c>
      <c r="D62" s="31" t="n">
        <v>17</v>
      </c>
      <c r="E62" s="32" t="n">
        <f aca="false">D62*Annahmen!$C$35</f>
        <v>20.06</v>
      </c>
      <c r="F62" s="34" t="n">
        <f aca="false">(C62+Annahmen!$C$41)-Annahmen!$C$77-C62*(1-Annahmen!$C$90)^Annahmen!$C$7/(1+Annahmen!$C$9)^Annahmen!$C$7+$C$24*(Annahmen!$C$92+Annahmen!$C$93+Annahmen!$C$94+Annahmen!$C$95-Annahmen!$C$20)+$C$25*(Annahmen!$C$6/100*E62*Annahmen!$C$27)</f>
        <v>21340.1956614812</v>
      </c>
      <c r="G62" s="34" t="n">
        <f aca="false">F62/$C$24</f>
        <v>3939.34677822714</v>
      </c>
      <c r="H62" s="52" t="n">
        <f aca="false">G62/Annahmen!$C$6</f>
        <v>0.328278898185595</v>
      </c>
      <c r="I62" s="34" t="n">
        <f aca="false">$C$29-F62</f>
        <v>1272.90443986907</v>
      </c>
      <c r="J62" s="28" t="s">
        <v>244</v>
      </c>
    </row>
    <row r="63" customFormat="false" ht="15" hidden="false" customHeight="false" outlineLevel="0" collapsed="false">
      <c r="B63" s="51" t="s">
        <v>245</v>
      </c>
      <c r="C63" s="35" t="n">
        <v>16996</v>
      </c>
      <c r="D63" s="31" t="n">
        <v>16.5</v>
      </c>
      <c r="E63" s="32" t="n">
        <f aca="false">D63*Annahmen!$C$35</f>
        <v>19.47</v>
      </c>
      <c r="F63" s="34" t="n">
        <f aca="false">(C63+Annahmen!$C$41)-Annahmen!$C$77-C63*(1-Annahmen!$C$90)^Annahmen!$C$7/(1+Annahmen!$C$9)^Annahmen!$C$7+$C$24*(Annahmen!$C$92+Annahmen!$C$93+Annahmen!$C$94+Annahmen!$C$95-Annahmen!$C$20)+$C$25*(Annahmen!$C$6/100*E63*Annahmen!$C$27)</f>
        <v>21342.9161047285</v>
      </c>
      <c r="G63" s="34" t="n">
        <f aca="false">F63/$C$24</f>
        <v>3939.84896525071</v>
      </c>
      <c r="H63" s="52" t="n">
        <f aca="false">G63/Annahmen!$C$6</f>
        <v>0.328320747104226</v>
      </c>
      <c r="I63" s="34" t="n">
        <f aca="false">$C$29-F63</f>
        <v>1270.18399662174</v>
      </c>
      <c r="J63" s="28" t="s">
        <v>244</v>
      </c>
    </row>
    <row r="64" customFormat="false" ht="15" hidden="false" customHeight="false" outlineLevel="0" collapsed="false">
      <c r="B64" s="51" t="s">
        <v>246</v>
      </c>
      <c r="C64" s="35" t="n">
        <v>17220</v>
      </c>
      <c r="D64" s="31" t="n">
        <v>16</v>
      </c>
      <c r="E64" s="32" t="n">
        <f aca="false">D64*Annahmen!$C$35</f>
        <v>18.88</v>
      </c>
      <c r="F64" s="34" t="n">
        <f aca="false">(C64+Annahmen!$C$41)-Annahmen!$C$77-C64*(1-Annahmen!$C$90)^Annahmen!$C$7/(1+Annahmen!$C$9)^Annahmen!$C$7+$C$24*(Annahmen!$C$92+Annahmen!$C$93+Annahmen!$C$94+Annahmen!$C$95-Annahmen!$C$20)+$C$25*(Annahmen!$C$6/100*E64*Annahmen!$C$27)</f>
        <v>21332.7932561308</v>
      </c>
      <c r="G64" s="34" t="n">
        <f aca="false">F64/$C$24</f>
        <v>3937.98031270215</v>
      </c>
      <c r="H64" s="52" t="n">
        <f aca="false">G64/Annahmen!$C$6</f>
        <v>0.328165026058512</v>
      </c>
      <c r="I64" s="34" t="n">
        <f aca="false">$C$29-F64</f>
        <v>1280.30684521939</v>
      </c>
      <c r="J64" s="28" t="s">
        <v>247</v>
      </c>
    </row>
    <row r="65" customFormat="false" ht="15" hidden="false" customHeight="false" outlineLevel="0" collapsed="false">
      <c r="B65" s="51" t="s">
        <v>248</v>
      </c>
      <c r="C65" s="35" t="n">
        <v>17895</v>
      </c>
      <c r="D65" s="31" t="n">
        <v>14.5</v>
      </c>
      <c r="E65" s="32" t="n">
        <f aca="false">D65*Annahmen!$C$35</f>
        <v>17.11</v>
      </c>
      <c r="F65" s="34" t="n">
        <f aca="false">(C65+Annahmen!$C$41)-Annahmen!$C$77-C65*(1-Annahmen!$C$90)^Annahmen!$C$7/(1+Annahmen!$C$9)^Annahmen!$C$7+$C$24*(Annahmen!$C$92+Annahmen!$C$93+Annahmen!$C$94+Annahmen!$C$95-Annahmen!$C$20)+$C$25*(Annahmen!$C$6/100*E65*Annahmen!$C$27)</f>
        <v>21304.1760683168</v>
      </c>
      <c r="G65" s="34" t="n">
        <f aca="false">F65/$C$24</f>
        <v>3932.69765136176</v>
      </c>
      <c r="H65" s="52" t="n">
        <f aca="false">G65/Annahmen!$C$6</f>
        <v>0.327724804280146</v>
      </c>
      <c r="I65" s="34" t="n">
        <f aca="false">$C$29-F65</f>
        <v>1308.92403303347</v>
      </c>
      <c r="J65" s="28" t="s">
        <v>244</v>
      </c>
    </row>
    <row r="66" customFormat="false" ht="15" hidden="false" customHeight="false" outlineLevel="0" collapsed="false">
      <c r="B66" s="51" t="s">
        <v>249</v>
      </c>
      <c r="C66" s="35" t="n">
        <v>19880</v>
      </c>
      <c r="D66" s="31" t="n">
        <v>17</v>
      </c>
      <c r="E66" s="32" t="n">
        <f aca="false">D66*Annahmen!$C$35</f>
        <v>20.06</v>
      </c>
      <c r="F66" s="34" t="n">
        <f aca="false">(C66+Annahmen!$C$41)-Annahmen!$C$77-C66*(1-Annahmen!$C$90)^Annahmen!$C$7/(1+Annahmen!$C$9)^Annahmen!$C$7+$C$24*(Annahmen!$C$92+Annahmen!$C$93+Annahmen!$C$94+Annahmen!$C$95-Annahmen!$C$20)+$C$25*(Annahmen!$C$6/100*E66*Annahmen!$C$27)</f>
        <v>23167.4458194267</v>
      </c>
      <c r="G66" s="34" t="n">
        <f aca="false">F66/$C$24</f>
        <v>4276.65259008107</v>
      </c>
      <c r="H66" s="52" t="n">
        <f aca="false">G66/Annahmen!$C$6</f>
        <v>0.356387715840089</v>
      </c>
      <c r="I66" s="34" t="n">
        <f aca="false">$C$29-F66</f>
        <v>-554.345718076456</v>
      </c>
      <c r="J66" s="28" t="s">
        <v>244</v>
      </c>
    </row>
    <row r="67" customFormat="false" ht="15" hidden="false" customHeight="false" outlineLevel="0" collapsed="false">
      <c r="B67" s="51" t="s">
        <v>250</v>
      </c>
      <c r="C67" s="35" t="n">
        <v>22000</v>
      </c>
      <c r="D67" s="31" t="n">
        <v>17.5</v>
      </c>
      <c r="E67" s="32" t="n">
        <f aca="false">D67*Annahmen!$C$35</f>
        <v>20.65</v>
      </c>
      <c r="F67" s="34" t="n">
        <f aca="false">(C67+Annahmen!$C$41)-Annahmen!$C$77-C67*(1-Annahmen!$C$90)^Annahmen!$C$7/(1+Annahmen!$C$9)^Annahmen!$C$7+$C$24*(Annahmen!$C$92+Annahmen!$C$93+Annahmen!$C$94+Annahmen!$C$95-Annahmen!$C$20)+$C$25*(Annahmen!$C$6/100*E67*Annahmen!$C$27)</f>
        <v>24545.9630355082</v>
      </c>
      <c r="G67" s="34" t="n">
        <f aca="false">F67/$C$24</f>
        <v>4531.12342249725</v>
      </c>
      <c r="H67" s="52" t="n">
        <f aca="false">G67/Annahmen!$C$6</f>
        <v>0.377593618541437</v>
      </c>
      <c r="I67" s="34" t="n">
        <f aca="false">$C$29-F67</f>
        <v>-1932.86293415791</v>
      </c>
      <c r="J67" s="28" t="s">
        <v>251</v>
      </c>
    </row>
    <row r="68" customFormat="false" ht="15" hidden="false" customHeight="false" outlineLevel="0" collapsed="false">
      <c r="B68" s="51" t="s">
        <v>252</v>
      </c>
      <c r="C68" s="35" t="n">
        <v>23000</v>
      </c>
      <c r="D68" s="31" t="n">
        <v>17.5</v>
      </c>
      <c r="E68" s="32" t="n">
        <f aca="false">D68*Annahmen!$C$35</f>
        <v>20.65</v>
      </c>
      <c r="F68" s="34" t="n">
        <f aca="false">(C68+Annahmen!$C$41)-Annahmen!$C$77-C68*(1-Annahmen!$C$90)^Annahmen!$C$7/(1+Annahmen!$C$9)^Annahmen!$C$7+$C$24*(Annahmen!$C$92+Annahmen!$C$93+Annahmen!$C$94+Annahmen!$C$95-Annahmen!$C$20)+$C$25*(Annahmen!$C$6/100*E68*Annahmen!$C$27)</f>
        <v>25129.749028462</v>
      </c>
      <c r="G68" s="34" t="n">
        <f aca="false">F68/$C$24</f>
        <v>4638.88885759435</v>
      </c>
      <c r="H68" s="52" t="n">
        <f aca="false">G68/Annahmen!$C$6</f>
        <v>0.386574071466196</v>
      </c>
      <c r="I68" s="34" t="n">
        <f aca="false">$C$29-F68</f>
        <v>-2516.64892711176</v>
      </c>
      <c r="J68" s="28" t="s">
        <v>251</v>
      </c>
    </row>
    <row r="69" customFormat="false" ht="15" hidden="false" customHeight="false" outlineLevel="0" collapsed="false">
      <c r="B69" s="51" t="s">
        <v>253</v>
      </c>
      <c r="C69" s="35" t="n">
        <v>23000</v>
      </c>
      <c r="D69" s="31" t="n">
        <v>17.5</v>
      </c>
      <c r="E69" s="32" t="n">
        <f aca="false">D69*Annahmen!$C$35</f>
        <v>20.65</v>
      </c>
      <c r="F69" s="34" t="n">
        <f aca="false">(C69+Annahmen!$C$41)-Annahmen!$C$77-C69*(1-Annahmen!$C$90)^Annahmen!$C$7/(1+Annahmen!$C$9)^Annahmen!$C$7+$C$24*(Annahmen!$C$92+Annahmen!$C$93+Annahmen!$C$94+Annahmen!$C$95-Annahmen!$C$20)+$C$25*(Annahmen!$C$6/100*E69*Annahmen!$C$27)</f>
        <v>25129.749028462</v>
      </c>
      <c r="G69" s="34" t="n">
        <f aca="false">F69/$C$24</f>
        <v>4638.88885759435</v>
      </c>
      <c r="H69" s="52" t="n">
        <f aca="false">G69/Annahmen!$C$6</f>
        <v>0.386574071466196</v>
      </c>
      <c r="I69" s="34" t="n">
        <f aca="false">$C$29-F69</f>
        <v>-2516.64892711176</v>
      </c>
      <c r="J69" s="28" t="s">
        <v>251</v>
      </c>
    </row>
    <row r="70" customFormat="false" ht="15" hidden="false" customHeight="false" outlineLevel="0" collapsed="false">
      <c r="B70" s="51" t="s">
        <v>254</v>
      </c>
      <c r="C70" s="35" t="n">
        <v>24000</v>
      </c>
      <c r="D70" s="31" t="n">
        <v>16.5</v>
      </c>
      <c r="E70" s="32" t="n">
        <f aca="false">D70*Annahmen!$C$35</f>
        <v>19.47</v>
      </c>
      <c r="F70" s="34" t="n">
        <f aca="false">(C70+Annahmen!$C$41)-Annahmen!$C$77-C70*(1-Annahmen!$C$90)^Annahmen!$C$7/(1+Annahmen!$C$9)^Annahmen!$C$7+$C$24*(Annahmen!$C$92+Annahmen!$C$93+Annahmen!$C$94+Annahmen!$C$95-Annahmen!$C$20)+$C$25*(Annahmen!$C$6/100*E70*Annahmen!$C$27)</f>
        <v>25431.7531993772</v>
      </c>
      <c r="G70" s="34" t="n">
        <f aca="false">F70/$C$24</f>
        <v>4694.63807267083</v>
      </c>
      <c r="H70" s="52" t="n">
        <f aca="false">G70/Annahmen!$C$6</f>
        <v>0.391219839389236</v>
      </c>
      <c r="I70" s="34" t="n">
        <f aca="false">$C$29-F70</f>
        <v>-2818.65309802698</v>
      </c>
      <c r="J70" s="28" t="s">
        <v>251</v>
      </c>
    </row>
    <row r="71" customFormat="false" ht="15" hidden="false" customHeight="false" outlineLevel="0" collapsed="false">
      <c r="B71" s="51" t="s">
        <v>255</v>
      </c>
      <c r="C71" s="35" t="n">
        <v>24770</v>
      </c>
      <c r="D71" s="31" t="n">
        <v>17.5</v>
      </c>
      <c r="E71" s="32" t="n">
        <f aca="false">D71*Annahmen!$C$35</f>
        <v>20.65</v>
      </c>
      <c r="F71" s="34" t="n">
        <f aca="false">(C71+Annahmen!$C$41)-Annahmen!$C$77-C71*(1-Annahmen!$C$90)^Annahmen!$C$7/(1+Annahmen!$C$9)^Annahmen!$C$7+$C$24*(Annahmen!$C$92+Annahmen!$C$93+Annahmen!$C$94+Annahmen!$C$95-Annahmen!$C$20)+$C$25*(Annahmen!$C$6/100*E71*Annahmen!$C$27)</f>
        <v>26163.0502359903</v>
      </c>
      <c r="G71" s="34" t="n">
        <f aca="false">F71/$C$24</f>
        <v>4829.63367771623</v>
      </c>
      <c r="H71" s="52" t="n">
        <f aca="false">G71/Annahmen!$C$6</f>
        <v>0.402469473143019</v>
      </c>
      <c r="I71" s="34" t="n">
        <f aca="false">$C$29-F71</f>
        <v>-3549.95013464007</v>
      </c>
      <c r="J71" s="28" t="s">
        <v>244</v>
      </c>
    </row>
    <row r="72" customFormat="false" ht="15" hidden="false" customHeight="false" outlineLevel="0" collapsed="false">
      <c r="B72" s="51" t="s">
        <v>256</v>
      </c>
      <c r="C72" s="35" t="n">
        <v>25000</v>
      </c>
      <c r="D72" s="31" t="n">
        <v>14</v>
      </c>
      <c r="E72" s="32" t="n">
        <f aca="false">D72*Annahmen!$C$35</f>
        <v>16.52</v>
      </c>
      <c r="F72" s="34" t="n">
        <f aca="false">(C72+Annahmen!$C$41)-Annahmen!$C$77-C72*(1-Annahmen!$C$90)^Annahmen!$C$7/(1+Annahmen!$C$9)^Annahmen!$C$7+$C$24*(Annahmen!$C$92+Annahmen!$C$93+Annahmen!$C$94+Annahmen!$C$95-Annahmen!$C$20)+$C$25*(Annahmen!$C$6/100*E72*Annahmen!$C$27)</f>
        <v>25311.0846372345</v>
      </c>
      <c r="G72" s="34" t="n">
        <f aca="false">F72/$C$24</f>
        <v>4672.36295771637</v>
      </c>
      <c r="H72" s="52" t="n">
        <f aca="false">G72/Annahmen!$C$6</f>
        <v>0.389363579809697</v>
      </c>
      <c r="I72" s="34" t="n">
        <f aca="false">$C$29-F72</f>
        <v>-2697.98453588428</v>
      </c>
      <c r="J72" s="28" t="s">
        <v>257</v>
      </c>
    </row>
    <row r="73" customFormat="false" ht="15" hidden="false" customHeight="false" outlineLevel="0" collapsed="false">
      <c r="B73" s="51" t="s">
        <v>258</v>
      </c>
      <c r="C73" s="35" t="n">
        <v>33420</v>
      </c>
      <c r="D73" s="31" t="n">
        <v>16.5</v>
      </c>
      <c r="E73" s="32" t="n">
        <f aca="false">D73*Annahmen!$C$35</f>
        <v>19.47</v>
      </c>
      <c r="F73" s="34" t="n">
        <f aca="false">(C73+Annahmen!$C$41)-Annahmen!$C$77-C73*(1-Annahmen!$C$90)^Annahmen!$C$7/(1+Annahmen!$C$9)^Annahmen!$C$7+$C$24*(Annahmen!$C$92+Annahmen!$C$93+Annahmen!$C$94+Annahmen!$C$95-Annahmen!$C$20)+$C$25*(Annahmen!$C$6/100*E73*Annahmen!$C$27)</f>
        <v>30931.0172530024</v>
      </c>
      <c r="G73" s="34" t="n">
        <f aca="false">F73/$C$24</f>
        <v>5709.78847128555</v>
      </c>
      <c r="H73" s="52" t="n">
        <f aca="false">G73/Annahmen!$C$6</f>
        <v>0.475815705940463</v>
      </c>
      <c r="I73" s="34" t="n">
        <f aca="false">$C$29-F73</f>
        <v>-8317.9171516522</v>
      </c>
      <c r="J73" s="28" t="s">
        <v>244</v>
      </c>
    </row>
    <row r="75" customFormat="false" ht="15" hidden="false" customHeight="false" outlineLevel="0" collapsed="false">
      <c r="B75" s="28" t="s">
        <v>259</v>
      </c>
    </row>
    <row r="76" customFormat="false" ht="15" hidden="false" customHeight="false" outlineLevel="0" collapsed="false">
      <c r="B76" s="28" t="s">
        <v>260</v>
      </c>
    </row>
  </sheetData>
  <conditionalFormatting sqref="J37:J51">
    <cfRule type="colorScale" priority="2">
      <colorScale>
        <cfvo type="min" val="0"/>
        <cfvo type="num" val="0"/>
        <cfvo type="max" val="0"/>
        <color rgb="FFF8696B"/>
        <color rgb="FFFFFFFF"/>
        <color rgb="FF63BE7B"/>
      </colorScale>
    </cfRule>
  </conditionalFormatting>
  <conditionalFormatting sqref="I62:I73">
    <cfRule type="colorScale" priority="3">
      <colorScale>
        <cfvo type="min" val="0"/>
        <cfvo type="num" val="0"/>
        <cfvo type="max" val="0"/>
        <color rgb="FFF8696B"/>
        <color rgb="FFFFFFFF"/>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9"/>
    <col collapsed="false" customWidth="true" hidden="false" outlineLevel="0" max="4" min="3" style="1" width="12"/>
    <col collapsed="false" customWidth="true" hidden="false" outlineLevel="0" max="7" min="5" style="1" width="17"/>
    <col collapsed="false" customWidth="true" hidden="false" outlineLevel="0" max="8" min="8" style="1" width="19"/>
    <col collapsed="false" customWidth="true" hidden="false" outlineLevel="0" max="9" min="9" style="0" width="18"/>
  </cols>
  <sheetData>
    <row r="2" customFormat="false" ht="15.75" hidden="false" customHeight="true" outlineLevel="0" collapsed="false">
      <c r="B2" s="2" t="s">
        <v>261</v>
      </c>
    </row>
    <row r="3" customFormat="false" ht="15" hidden="false" customHeight="true" outlineLevel="0" collapsed="false">
      <c r="B3" s="3" t="s">
        <v>262</v>
      </c>
    </row>
    <row r="5" customFormat="false" ht="31.5" hidden="false" customHeight="true" outlineLevel="0" collapsed="false">
      <c r="B5" s="41" t="s">
        <v>263</v>
      </c>
      <c r="C5" s="41" t="s">
        <v>264</v>
      </c>
      <c r="D5" s="41" t="s">
        <v>265</v>
      </c>
      <c r="E5" s="41" t="s">
        <v>266</v>
      </c>
      <c r="F5" s="41" t="s">
        <v>267</v>
      </c>
      <c r="G5" s="41" t="s">
        <v>268</v>
      </c>
      <c r="H5" s="41" t="s">
        <v>269</v>
      </c>
      <c r="I5" s="41" t="s">
        <v>270</v>
      </c>
    </row>
    <row r="6" customFormat="false" ht="15" hidden="false" customHeight="true" outlineLevel="0" collapsed="false">
      <c r="B6" s="53" t="n">
        <v>0</v>
      </c>
      <c r="C6" s="54" t="n">
        <f aca="false">1/(1+Annahmen!$C$10)^$B6</f>
        <v>1</v>
      </c>
      <c r="D6" s="54" t="n">
        <f aca="false">(1+Annahmen!$C$11)^INT(MAX($B6-1,0)/12)</f>
        <v>1</v>
      </c>
      <c r="E6" s="55" t="n">
        <f aca="false">IF($B6&gt;Annahmen!$C$8,0,IF($B6=0,-(Annahmen!$C$33+Annahmen!$C$41)+Annahmen!$C$77,-Annahmen!$C$6/12/100*Annahmen!$C$36*Annahmen!$C$27*$D6-(Annahmen!$C$39+Annahmen!$C$40+Annahmen!$C$42)/12+IF($B6=Annahmen!$C$19,Annahmen!$C$17,0)+IF(MOD($B6,12)=0,Annahmen!$C$20,0)+IF($B6=Annahmen!$C$8,Annahmen!$C$38,0)))</f>
        <v>-23900</v>
      </c>
      <c r="F6" s="55" t="n">
        <f aca="false">IF($B6&gt;Annahmen!$C$8,0,IF($B6=0,-(Annahmen!$C$49+Annahmen!$C$41)+Annahmen!$C$77,-Annahmen!$C$46*(1+Annahmen!$C$48)^INT(($B6-1)/Annahmen!$C$47)-Annahmen!$C$6/12/100*Annahmen!$C$36*Annahmen!$C$27*$D6-(Annahmen!$C$53+Annahmen!$C$54)/12+IF($B6=Annahmen!$C$19,Annahmen!$C$17,0)+IF(MOD($B6,12)=0,Annahmen!$C$20,0)-IF(MOD($B6,Annahmen!$C$47)=0,Annahmen!$C$52,0)-IF(AND(MOD($B6,Annahmen!$C$47)=0,$B6&lt;Annahmen!$C$8),Annahmen!$C$49*(1+Annahmen!$C$48)^($B6/Annahmen!$C$47),0)))</f>
        <v>0</v>
      </c>
      <c r="G6" s="55" t="n">
        <f aca="false">IF($B6&gt;Annahmen!$C$8,0,IF($B6=0,-Annahmen!$C$57+Annahmen!$C$77,-Annahmen!$C$6/12/100*Annahmen!$C$58*Annahmen!$C$28*$D6-(Annahmen!$C$61+Annahmen!$C$62+Annahmen!$C$63)/12+IF($B6=Annahmen!$C$8,Annahmen!$C$60,0)))</f>
        <v>-20500</v>
      </c>
      <c r="H6" s="55" t="n">
        <f aca="false">IF($B6&gt;Annahmen!$C$8,0,IF($B6=0,-Annahmen!$C$66,IF($B6&lt;=Annahmen!$C$67*12,-Annahmen!$C$6/12/100*Annahmen!$C$72*$D6-(Annahmen!$C$73+Annahmen!$C$74+Annahmen!$C$75)/12+IF($B6=Annahmen!$C$67*12,Annahmen!$C$76-(Annahmen!$C$81+Annahmen!$C$41),0),-Annahmen!$C$6/12/100*Annahmen!$C$36*Annahmen!$C$27*$D6-(Annahmen!$C$39+Annahmen!$C$40+Annahmen!$C$42)/12+IF(MOD($B6,12)=0,Annahmen!$C$20,0)+IF($B6=Annahmen!$C$8,Annahmen!$C$82,0))+IF($B6=Annahmen!$C$67*12+Annahmen!$C$19,Annahmen!$C$17*Annahmen!$C$21,0)))</f>
        <v>-2500</v>
      </c>
      <c r="I6" s="56" t="n">
        <f aca="false">IF($B6&gt;Annahmen!$C$8,0,IF($B6=0,-(Annahmen!$C$86+Annahmen!$C$41)+Annahmen!$C$77,-Annahmen!$C$6/12/100*Annahmen!$C$89*Annahmen!$C$27*$D6-(Annahmen!$C$92+Annahmen!$C$93+Annahmen!$C$94+Annahmen!$C$95)/12+IF(MOD($B6,12)=0,Annahmen!$C$20,0)+IF($B6=Annahmen!$C$8,Annahmen!$C$91,0)))</f>
        <v>-18000</v>
      </c>
    </row>
    <row r="7" customFormat="false" ht="15" hidden="false" customHeight="true" outlineLevel="0" collapsed="false">
      <c r="B7" s="39" t="n">
        <v>1</v>
      </c>
      <c r="C7" s="57" t="n">
        <f aca="false">1/(1+Annahmen!$C$10)^$B7</f>
        <v>0.997539797750139</v>
      </c>
      <c r="D7" s="57" t="n">
        <f aca="false">(1+Annahmen!$C$11)^INT(MAX($B7-1,0)/12)</f>
        <v>1</v>
      </c>
      <c r="E7" s="58" t="n">
        <f aca="false">IF($B7&gt;Annahmen!$C$8,0,IF($B7=0,-(Annahmen!$C$33+Annahmen!$C$41)+Annahmen!$C$77,-Annahmen!$C$6/12/100*Annahmen!$C$36*Annahmen!$C$27*$D7-(Annahmen!$C$39+Annahmen!$C$40+Annahmen!$C$42)/12+IF($B7=Annahmen!$C$19,Annahmen!$C$17,0)+IF(MOD($B7,12)=0,Annahmen!$C$20,0)+IF($B7=Annahmen!$C$8,Annahmen!$C$38,0)))</f>
        <v>-149.863</v>
      </c>
      <c r="F7" s="58" t="n">
        <f aca="false">IF($B7&gt;Annahmen!$C$8,0,IF($B7=0,-(Annahmen!$C$49+Annahmen!$C$41)+Annahmen!$C$77,-Annahmen!$C$46*(1+Annahmen!$C$48)^INT(($B7-1)/Annahmen!$C$47)-Annahmen!$C$6/12/100*Annahmen!$C$36*Annahmen!$C$27*$D7-(Annahmen!$C$53+Annahmen!$C$54)/12+IF($B7=Annahmen!$C$19,Annahmen!$C$17,0)+IF(MOD($B7,12)=0,Annahmen!$C$20,0)-IF(MOD($B7,Annahmen!$C$47)=0,Annahmen!$C$52,0)-IF(AND(MOD($B7,Annahmen!$C$47)=0,$B7&lt;Annahmen!$C$8),Annahmen!$C$49*(1+Annahmen!$C$48)^($B7/Annahmen!$C$47),0)))</f>
        <v>-388.863</v>
      </c>
      <c r="G7" s="58" t="n">
        <f aca="false">IF($B7&gt;Annahmen!$C$8,0,IF($B7=0,-Annahmen!$C$57+Annahmen!$C$77,-Annahmen!$C$6/12/100*Annahmen!$C$58*Annahmen!$C$28*$D7-(Annahmen!$C$61+Annahmen!$C$62+Annahmen!$C$63)/12+IF($B7=Annahmen!$C$8,Annahmen!$C$60,0)))</f>
        <v>-238.5</v>
      </c>
      <c r="H7" s="58" t="n">
        <f aca="false">IF($B7&gt;Annahmen!$C$8,0,IF($B7=0,-Annahmen!$C$66,IF($B7&lt;=Annahmen!$C$67*12,-Annahmen!$C$6/12/100*Annahmen!$C$72*$D7-(Annahmen!$C$73+Annahmen!$C$74+Annahmen!$C$75)/12+IF($B7=Annahmen!$C$67*12,Annahmen!$C$76-(Annahmen!$C$81+Annahmen!$C$41),0),-Annahmen!$C$6/12/100*Annahmen!$C$36*Annahmen!$C$27*$D7-(Annahmen!$C$39+Annahmen!$C$40+Annahmen!$C$42)/12+IF(MOD($B7,12)=0,Annahmen!$C$20,0)+IF($B7=Annahmen!$C$8,Annahmen!$C$82,0))+IF($B7=Annahmen!$C$67*12+Annahmen!$C$19,Annahmen!$C$17*Annahmen!$C$21,0)))</f>
        <v>-230.106666666667</v>
      </c>
      <c r="I7" s="59" t="n">
        <f aca="false">IF($B7&gt;Annahmen!$C$8,0,IF($B7=0,-(Annahmen!$C$86+Annahmen!$C$41)+Annahmen!$C$77,-Annahmen!$C$6/12/100*Annahmen!$C$89*Annahmen!$C$27*$D7-(Annahmen!$C$92+Annahmen!$C$93+Annahmen!$C$94+Annahmen!$C$95)/12+IF(MOD($B7,12)=0,Annahmen!$C$20,0)+IF($B7=Annahmen!$C$8,Annahmen!$C$91,0)))</f>
        <v>-195.246666666667</v>
      </c>
    </row>
    <row r="8" customFormat="false" ht="15" hidden="false" customHeight="true" outlineLevel="0" collapsed="false">
      <c r="B8" s="39" t="n">
        <v>2</v>
      </c>
      <c r="C8" s="57" t="n">
        <f aca="false">1/(1+Annahmen!$C$10)^$B8</f>
        <v>0.995085648095388</v>
      </c>
      <c r="D8" s="57" t="n">
        <f aca="false">(1+Annahmen!$C$11)^INT(MAX($B8-1,0)/12)</f>
        <v>1</v>
      </c>
      <c r="E8" s="58" t="n">
        <f aca="false">IF($B8&gt;Annahmen!$C$8,0,IF($B8=0,-(Annahmen!$C$33+Annahmen!$C$41)+Annahmen!$C$77,-Annahmen!$C$6/12/100*Annahmen!$C$36*Annahmen!$C$27*$D8-(Annahmen!$C$39+Annahmen!$C$40+Annahmen!$C$42)/12+IF($B8=Annahmen!$C$19,Annahmen!$C$17,0)+IF(MOD($B8,12)=0,Annahmen!$C$20,0)+IF($B8=Annahmen!$C$8,Annahmen!$C$38,0)))</f>
        <v>-149.863</v>
      </c>
      <c r="F8" s="58" t="n">
        <f aca="false">IF($B8&gt;Annahmen!$C$8,0,IF($B8=0,-(Annahmen!$C$49+Annahmen!$C$41)+Annahmen!$C$77,-Annahmen!$C$46*(1+Annahmen!$C$48)^INT(($B8-1)/Annahmen!$C$47)-Annahmen!$C$6/12/100*Annahmen!$C$36*Annahmen!$C$27*$D8-(Annahmen!$C$53+Annahmen!$C$54)/12+IF($B8=Annahmen!$C$19,Annahmen!$C$17,0)+IF(MOD($B8,12)=0,Annahmen!$C$20,0)-IF(MOD($B8,Annahmen!$C$47)=0,Annahmen!$C$52,0)-IF(AND(MOD($B8,Annahmen!$C$47)=0,$B8&lt;Annahmen!$C$8),Annahmen!$C$49*(1+Annahmen!$C$48)^($B8/Annahmen!$C$47),0)))</f>
        <v>-388.863</v>
      </c>
      <c r="G8" s="58" t="n">
        <f aca="false">IF($B8&gt;Annahmen!$C$8,0,IF($B8=0,-Annahmen!$C$57+Annahmen!$C$77,-Annahmen!$C$6/12/100*Annahmen!$C$58*Annahmen!$C$28*$D8-(Annahmen!$C$61+Annahmen!$C$62+Annahmen!$C$63)/12+IF($B8=Annahmen!$C$8,Annahmen!$C$60,0)))</f>
        <v>-238.5</v>
      </c>
      <c r="H8" s="58" t="n">
        <f aca="false">IF($B8&gt;Annahmen!$C$8,0,IF($B8=0,-Annahmen!$C$66,IF($B8&lt;=Annahmen!$C$67*12,-Annahmen!$C$6/12/100*Annahmen!$C$72*$D8-(Annahmen!$C$73+Annahmen!$C$74+Annahmen!$C$75)/12+IF($B8=Annahmen!$C$67*12,Annahmen!$C$76-(Annahmen!$C$81+Annahmen!$C$41),0),-Annahmen!$C$6/12/100*Annahmen!$C$36*Annahmen!$C$27*$D8-(Annahmen!$C$39+Annahmen!$C$40+Annahmen!$C$42)/12+IF(MOD($B8,12)=0,Annahmen!$C$20,0)+IF($B8=Annahmen!$C$8,Annahmen!$C$82,0))+IF($B8=Annahmen!$C$67*12+Annahmen!$C$19,Annahmen!$C$17*Annahmen!$C$21,0)))</f>
        <v>-230.106666666667</v>
      </c>
      <c r="I8" s="59" t="n">
        <f aca="false">IF($B8&gt;Annahmen!$C$8,0,IF($B8=0,-(Annahmen!$C$86+Annahmen!$C$41)+Annahmen!$C$77,-Annahmen!$C$6/12/100*Annahmen!$C$89*Annahmen!$C$27*$D8-(Annahmen!$C$92+Annahmen!$C$93+Annahmen!$C$94+Annahmen!$C$95)/12+IF(MOD($B8,12)=0,Annahmen!$C$20,0)+IF($B8=Annahmen!$C$8,Annahmen!$C$91,0)))</f>
        <v>-195.246666666667</v>
      </c>
    </row>
    <row r="9" customFormat="false" ht="15" hidden="false" customHeight="true" outlineLevel="0" collapsed="false">
      <c r="B9" s="39" t="n">
        <v>3</v>
      </c>
      <c r="C9" s="57" t="n">
        <f aca="false">1/(1+Annahmen!$C$10)^$B9</f>
        <v>0.992637536145139</v>
      </c>
      <c r="D9" s="57" t="n">
        <f aca="false">(1+Annahmen!$C$11)^INT(MAX($B9-1,0)/12)</f>
        <v>1</v>
      </c>
      <c r="E9" s="58" t="n">
        <f aca="false">IF($B9&gt;Annahmen!$C$8,0,IF($B9=0,-(Annahmen!$C$33+Annahmen!$C$41)+Annahmen!$C$77,-Annahmen!$C$6/12/100*Annahmen!$C$36*Annahmen!$C$27*$D9-(Annahmen!$C$39+Annahmen!$C$40+Annahmen!$C$42)/12+IF($B9=Annahmen!$C$19,Annahmen!$C$17,0)+IF(MOD($B9,12)=0,Annahmen!$C$20,0)+IF($B9=Annahmen!$C$8,Annahmen!$C$38,0)))</f>
        <v>-149.863</v>
      </c>
      <c r="F9" s="58" t="n">
        <f aca="false">IF($B9&gt;Annahmen!$C$8,0,IF($B9=0,-(Annahmen!$C$49+Annahmen!$C$41)+Annahmen!$C$77,-Annahmen!$C$46*(1+Annahmen!$C$48)^INT(($B9-1)/Annahmen!$C$47)-Annahmen!$C$6/12/100*Annahmen!$C$36*Annahmen!$C$27*$D9-(Annahmen!$C$53+Annahmen!$C$54)/12+IF($B9=Annahmen!$C$19,Annahmen!$C$17,0)+IF(MOD($B9,12)=0,Annahmen!$C$20,0)-IF(MOD($B9,Annahmen!$C$47)=0,Annahmen!$C$52,0)-IF(AND(MOD($B9,Annahmen!$C$47)=0,$B9&lt;Annahmen!$C$8),Annahmen!$C$49*(1+Annahmen!$C$48)^($B9/Annahmen!$C$47),0)))</f>
        <v>-388.863</v>
      </c>
      <c r="G9" s="58" t="n">
        <f aca="false">IF($B9&gt;Annahmen!$C$8,0,IF($B9=0,-Annahmen!$C$57+Annahmen!$C$77,-Annahmen!$C$6/12/100*Annahmen!$C$58*Annahmen!$C$28*$D9-(Annahmen!$C$61+Annahmen!$C$62+Annahmen!$C$63)/12+IF($B9=Annahmen!$C$8,Annahmen!$C$60,0)))</f>
        <v>-238.5</v>
      </c>
      <c r="H9" s="58" t="n">
        <f aca="false">IF($B9&gt;Annahmen!$C$8,0,IF($B9=0,-Annahmen!$C$66,IF($B9&lt;=Annahmen!$C$67*12,-Annahmen!$C$6/12/100*Annahmen!$C$72*$D9-(Annahmen!$C$73+Annahmen!$C$74+Annahmen!$C$75)/12+IF($B9=Annahmen!$C$67*12,Annahmen!$C$76-(Annahmen!$C$81+Annahmen!$C$41),0),-Annahmen!$C$6/12/100*Annahmen!$C$36*Annahmen!$C$27*$D9-(Annahmen!$C$39+Annahmen!$C$40+Annahmen!$C$42)/12+IF(MOD($B9,12)=0,Annahmen!$C$20,0)+IF($B9=Annahmen!$C$8,Annahmen!$C$82,0))+IF($B9=Annahmen!$C$67*12+Annahmen!$C$19,Annahmen!$C$17*Annahmen!$C$21,0)))</f>
        <v>-230.106666666667</v>
      </c>
      <c r="I9" s="59" t="n">
        <f aca="false">IF($B9&gt;Annahmen!$C$8,0,IF($B9=0,-(Annahmen!$C$86+Annahmen!$C$41)+Annahmen!$C$77,-Annahmen!$C$6/12/100*Annahmen!$C$89*Annahmen!$C$27*$D9-(Annahmen!$C$92+Annahmen!$C$93+Annahmen!$C$94+Annahmen!$C$95)/12+IF(MOD($B9,12)=0,Annahmen!$C$20,0)+IF($B9=Annahmen!$C$8,Annahmen!$C$91,0)))</f>
        <v>-195.246666666667</v>
      </c>
    </row>
    <row r="10" customFormat="false" ht="15" hidden="false" customHeight="true" outlineLevel="0" collapsed="false">
      <c r="B10" s="39" t="n">
        <v>4</v>
      </c>
      <c r="C10" s="57" t="n">
        <f aca="false">1/(1+Annahmen!$C$10)^$B10</f>
        <v>0.990195447045418</v>
      </c>
      <c r="D10" s="57" t="n">
        <f aca="false">(1+Annahmen!$C$11)^INT(MAX($B10-1,0)/12)</f>
        <v>1</v>
      </c>
      <c r="E10" s="58" t="n">
        <f aca="false">IF($B10&gt;Annahmen!$C$8,0,IF($B10=0,-(Annahmen!$C$33+Annahmen!$C$41)+Annahmen!$C$77,-Annahmen!$C$6/12/100*Annahmen!$C$36*Annahmen!$C$27*$D10-(Annahmen!$C$39+Annahmen!$C$40+Annahmen!$C$42)/12+IF($B10=Annahmen!$C$19,Annahmen!$C$17,0)+IF(MOD($B10,12)=0,Annahmen!$C$20,0)+IF($B10=Annahmen!$C$8,Annahmen!$C$38,0)))</f>
        <v>3850.137</v>
      </c>
      <c r="F10" s="58" t="n">
        <f aca="false">IF($B10&gt;Annahmen!$C$8,0,IF($B10=0,-(Annahmen!$C$49+Annahmen!$C$41)+Annahmen!$C$77,-Annahmen!$C$46*(1+Annahmen!$C$48)^INT(($B10-1)/Annahmen!$C$47)-Annahmen!$C$6/12/100*Annahmen!$C$36*Annahmen!$C$27*$D10-(Annahmen!$C$53+Annahmen!$C$54)/12+IF($B10=Annahmen!$C$19,Annahmen!$C$17,0)+IF(MOD($B10,12)=0,Annahmen!$C$20,0)-IF(MOD($B10,Annahmen!$C$47)=0,Annahmen!$C$52,0)-IF(AND(MOD($B10,Annahmen!$C$47)=0,$B10&lt;Annahmen!$C$8),Annahmen!$C$49*(1+Annahmen!$C$48)^($B10/Annahmen!$C$47),0)))</f>
        <v>3611.137</v>
      </c>
      <c r="G10" s="58" t="n">
        <f aca="false">IF($B10&gt;Annahmen!$C$8,0,IF($B10=0,-Annahmen!$C$57+Annahmen!$C$77,-Annahmen!$C$6/12/100*Annahmen!$C$58*Annahmen!$C$28*$D10-(Annahmen!$C$61+Annahmen!$C$62+Annahmen!$C$63)/12+IF($B10=Annahmen!$C$8,Annahmen!$C$60,0)))</f>
        <v>-238.5</v>
      </c>
      <c r="H10" s="58" t="n">
        <f aca="false">IF($B10&gt;Annahmen!$C$8,0,IF($B10=0,-Annahmen!$C$66,IF($B10&lt;=Annahmen!$C$67*12,-Annahmen!$C$6/12/100*Annahmen!$C$72*$D10-(Annahmen!$C$73+Annahmen!$C$74+Annahmen!$C$75)/12+IF($B10=Annahmen!$C$67*12,Annahmen!$C$76-(Annahmen!$C$81+Annahmen!$C$41),0),-Annahmen!$C$6/12/100*Annahmen!$C$36*Annahmen!$C$27*$D10-(Annahmen!$C$39+Annahmen!$C$40+Annahmen!$C$42)/12+IF(MOD($B10,12)=0,Annahmen!$C$20,0)+IF($B10=Annahmen!$C$8,Annahmen!$C$82,0))+IF($B10=Annahmen!$C$67*12+Annahmen!$C$19,Annahmen!$C$17*Annahmen!$C$21,0)))</f>
        <v>-230.106666666667</v>
      </c>
      <c r="I10" s="59" t="n">
        <f aca="false">IF($B10&gt;Annahmen!$C$8,0,IF($B10=0,-(Annahmen!$C$86+Annahmen!$C$41)+Annahmen!$C$77,-Annahmen!$C$6/12/100*Annahmen!$C$89*Annahmen!$C$27*$D10-(Annahmen!$C$92+Annahmen!$C$93+Annahmen!$C$94+Annahmen!$C$95)/12+IF(MOD($B10,12)=0,Annahmen!$C$20,0)+IF($B10=Annahmen!$C$8,Annahmen!$C$91,0)))</f>
        <v>-195.246666666667</v>
      </c>
    </row>
    <row r="11" customFormat="false" ht="15" hidden="false" customHeight="true" outlineLevel="0" collapsed="false">
      <c r="B11" s="39" t="n">
        <v>5</v>
      </c>
      <c r="C11" s="57" t="n">
        <f aca="false">1/(1+Annahmen!$C$10)^$B11</f>
        <v>0.987759365978795</v>
      </c>
      <c r="D11" s="57" t="n">
        <f aca="false">(1+Annahmen!$C$11)^INT(MAX($B11-1,0)/12)</f>
        <v>1</v>
      </c>
      <c r="E11" s="58" t="n">
        <f aca="false">IF($B11&gt;Annahmen!$C$8,0,IF($B11=0,-(Annahmen!$C$33+Annahmen!$C$41)+Annahmen!$C$77,-Annahmen!$C$6/12/100*Annahmen!$C$36*Annahmen!$C$27*$D11-(Annahmen!$C$39+Annahmen!$C$40+Annahmen!$C$42)/12+IF($B11=Annahmen!$C$19,Annahmen!$C$17,0)+IF(MOD($B11,12)=0,Annahmen!$C$20,0)+IF($B11=Annahmen!$C$8,Annahmen!$C$38,0)))</f>
        <v>-149.863</v>
      </c>
      <c r="F11" s="58" t="n">
        <f aca="false">IF($B11&gt;Annahmen!$C$8,0,IF($B11=0,-(Annahmen!$C$49+Annahmen!$C$41)+Annahmen!$C$77,-Annahmen!$C$46*(1+Annahmen!$C$48)^INT(($B11-1)/Annahmen!$C$47)-Annahmen!$C$6/12/100*Annahmen!$C$36*Annahmen!$C$27*$D11-(Annahmen!$C$53+Annahmen!$C$54)/12+IF($B11=Annahmen!$C$19,Annahmen!$C$17,0)+IF(MOD($B11,12)=0,Annahmen!$C$20,0)-IF(MOD($B11,Annahmen!$C$47)=0,Annahmen!$C$52,0)-IF(AND(MOD($B11,Annahmen!$C$47)=0,$B11&lt;Annahmen!$C$8),Annahmen!$C$49*(1+Annahmen!$C$48)^($B11/Annahmen!$C$47),0)))</f>
        <v>-388.863</v>
      </c>
      <c r="G11" s="58" t="n">
        <f aca="false">IF($B11&gt;Annahmen!$C$8,0,IF($B11=0,-Annahmen!$C$57+Annahmen!$C$77,-Annahmen!$C$6/12/100*Annahmen!$C$58*Annahmen!$C$28*$D11-(Annahmen!$C$61+Annahmen!$C$62+Annahmen!$C$63)/12+IF($B11=Annahmen!$C$8,Annahmen!$C$60,0)))</f>
        <v>-238.5</v>
      </c>
      <c r="H11" s="58" t="n">
        <f aca="false">IF($B11&gt;Annahmen!$C$8,0,IF($B11=0,-Annahmen!$C$66,IF($B11&lt;=Annahmen!$C$67*12,-Annahmen!$C$6/12/100*Annahmen!$C$72*$D11-(Annahmen!$C$73+Annahmen!$C$74+Annahmen!$C$75)/12+IF($B11=Annahmen!$C$67*12,Annahmen!$C$76-(Annahmen!$C$81+Annahmen!$C$41),0),-Annahmen!$C$6/12/100*Annahmen!$C$36*Annahmen!$C$27*$D11-(Annahmen!$C$39+Annahmen!$C$40+Annahmen!$C$42)/12+IF(MOD($B11,12)=0,Annahmen!$C$20,0)+IF($B11=Annahmen!$C$8,Annahmen!$C$82,0))+IF($B11=Annahmen!$C$67*12+Annahmen!$C$19,Annahmen!$C$17*Annahmen!$C$21,0)))</f>
        <v>-230.106666666667</v>
      </c>
      <c r="I11" s="59" t="n">
        <f aca="false">IF($B11&gt;Annahmen!$C$8,0,IF($B11=0,-(Annahmen!$C$86+Annahmen!$C$41)+Annahmen!$C$77,-Annahmen!$C$6/12/100*Annahmen!$C$89*Annahmen!$C$27*$D11-(Annahmen!$C$92+Annahmen!$C$93+Annahmen!$C$94+Annahmen!$C$95)/12+IF(MOD($B11,12)=0,Annahmen!$C$20,0)+IF($B11=Annahmen!$C$8,Annahmen!$C$91,0)))</f>
        <v>-195.246666666667</v>
      </c>
    </row>
    <row r="12" customFormat="false" ht="15" hidden="false" customHeight="true" outlineLevel="0" collapsed="false">
      <c r="B12" s="39" t="n">
        <v>6</v>
      </c>
      <c r="C12" s="57" t="n">
        <f aca="false">1/(1+Annahmen!$C$10)^$B12</f>
        <v>0.985329278164293</v>
      </c>
      <c r="D12" s="57" t="n">
        <f aca="false">(1+Annahmen!$C$11)^INT(MAX($B12-1,0)/12)</f>
        <v>1</v>
      </c>
      <c r="E12" s="58" t="n">
        <f aca="false">IF($B12&gt;Annahmen!$C$8,0,IF($B12=0,-(Annahmen!$C$33+Annahmen!$C$41)+Annahmen!$C$77,-Annahmen!$C$6/12/100*Annahmen!$C$36*Annahmen!$C$27*$D12-(Annahmen!$C$39+Annahmen!$C$40+Annahmen!$C$42)/12+IF($B12=Annahmen!$C$19,Annahmen!$C$17,0)+IF(MOD($B12,12)=0,Annahmen!$C$20,0)+IF($B12=Annahmen!$C$8,Annahmen!$C$38,0)))</f>
        <v>-149.863</v>
      </c>
      <c r="F12" s="58" t="n">
        <f aca="false">IF($B12&gt;Annahmen!$C$8,0,IF($B12=0,-(Annahmen!$C$49+Annahmen!$C$41)+Annahmen!$C$77,-Annahmen!$C$46*(1+Annahmen!$C$48)^INT(($B12-1)/Annahmen!$C$47)-Annahmen!$C$6/12/100*Annahmen!$C$36*Annahmen!$C$27*$D12-(Annahmen!$C$53+Annahmen!$C$54)/12+IF($B12=Annahmen!$C$19,Annahmen!$C$17,0)+IF(MOD($B12,12)=0,Annahmen!$C$20,0)-IF(MOD($B12,Annahmen!$C$47)=0,Annahmen!$C$52,0)-IF(AND(MOD($B12,Annahmen!$C$47)=0,$B12&lt;Annahmen!$C$8),Annahmen!$C$49*(1+Annahmen!$C$48)^($B12/Annahmen!$C$47),0)))</f>
        <v>-388.863</v>
      </c>
      <c r="G12" s="58" t="n">
        <f aca="false">IF($B12&gt;Annahmen!$C$8,0,IF($B12=0,-Annahmen!$C$57+Annahmen!$C$77,-Annahmen!$C$6/12/100*Annahmen!$C$58*Annahmen!$C$28*$D12-(Annahmen!$C$61+Annahmen!$C$62+Annahmen!$C$63)/12+IF($B12=Annahmen!$C$8,Annahmen!$C$60,0)))</f>
        <v>-238.5</v>
      </c>
      <c r="H12" s="58" t="n">
        <f aca="false">IF($B12&gt;Annahmen!$C$8,0,IF($B12=0,-Annahmen!$C$66,IF($B12&lt;=Annahmen!$C$67*12,-Annahmen!$C$6/12/100*Annahmen!$C$72*$D12-(Annahmen!$C$73+Annahmen!$C$74+Annahmen!$C$75)/12+IF($B12=Annahmen!$C$67*12,Annahmen!$C$76-(Annahmen!$C$81+Annahmen!$C$41),0),-Annahmen!$C$6/12/100*Annahmen!$C$36*Annahmen!$C$27*$D12-(Annahmen!$C$39+Annahmen!$C$40+Annahmen!$C$42)/12+IF(MOD($B12,12)=0,Annahmen!$C$20,0)+IF($B12=Annahmen!$C$8,Annahmen!$C$82,0))+IF($B12=Annahmen!$C$67*12+Annahmen!$C$19,Annahmen!$C$17*Annahmen!$C$21,0)))</f>
        <v>-230.106666666667</v>
      </c>
      <c r="I12" s="59" t="n">
        <f aca="false">IF($B12&gt;Annahmen!$C$8,0,IF($B12=0,-(Annahmen!$C$86+Annahmen!$C$41)+Annahmen!$C$77,-Annahmen!$C$6/12/100*Annahmen!$C$89*Annahmen!$C$27*$D12-(Annahmen!$C$92+Annahmen!$C$93+Annahmen!$C$94+Annahmen!$C$95)/12+IF(MOD($B12,12)=0,Annahmen!$C$20,0)+IF($B12=Annahmen!$C$8,Annahmen!$C$91,0)))</f>
        <v>-195.246666666667</v>
      </c>
    </row>
    <row r="13" customFormat="false" ht="15" hidden="false" customHeight="true" outlineLevel="0" collapsed="false">
      <c r="B13" s="39" t="n">
        <v>7</v>
      </c>
      <c r="C13" s="57" t="n">
        <f aca="false">1/(1+Annahmen!$C$10)^$B13</f>
        <v>0.982905168857299</v>
      </c>
      <c r="D13" s="57" t="n">
        <f aca="false">(1+Annahmen!$C$11)^INT(MAX($B13-1,0)/12)</f>
        <v>1</v>
      </c>
      <c r="E13" s="58" t="n">
        <f aca="false">IF($B13&gt;Annahmen!$C$8,0,IF($B13=0,-(Annahmen!$C$33+Annahmen!$C$41)+Annahmen!$C$77,-Annahmen!$C$6/12/100*Annahmen!$C$36*Annahmen!$C$27*$D13-(Annahmen!$C$39+Annahmen!$C$40+Annahmen!$C$42)/12+IF($B13=Annahmen!$C$19,Annahmen!$C$17,0)+IF(MOD($B13,12)=0,Annahmen!$C$20,0)+IF($B13=Annahmen!$C$8,Annahmen!$C$38,0)))</f>
        <v>-149.863</v>
      </c>
      <c r="F13" s="58" t="n">
        <f aca="false">IF($B13&gt;Annahmen!$C$8,0,IF($B13=0,-(Annahmen!$C$49+Annahmen!$C$41)+Annahmen!$C$77,-Annahmen!$C$46*(1+Annahmen!$C$48)^INT(($B13-1)/Annahmen!$C$47)-Annahmen!$C$6/12/100*Annahmen!$C$36*Annahmen!$C$27*$D13-(Annahmen!$C$53+Annahmen!$C$54)/12+IF($B13=Annahmen!$C$19,Annahmen!$C$17,0)+IF(MOD($B13,12)=0,Annahmen!$C$20,0)-IF(MOD($B13,Annahmen!$C$47)=0,Annahmen!$C$52,0)-IF(AND(MOD($B13,Annahmen!$C$47)=0,$B13&lt;Annahmen!$C$8),Annahmen!$C$49*(1+Annahmen!$C$48)^($B13/Annahmen!$C$47),0)))</f>
        <v>-388.863</v>
      </c>
      <c r="G13" s="58" t="n">
        <f aca="false">IF($B13&gt;Annahmen!$C$8,0,IF($B13=0,-Annahmen!$C$57+Annahmen!$C$77,-Annahmen!$C$6/12/100*Annahmen!$C$58*Annahmen!$C$28*$D13-(Annahmen!$C$61+Annahmen!$C$62+Annahmen!$C$63)/12+IF($B13=Annahmen!$C$8,Annahmen!$C$60,0)))</f>
        <v>-238.5</v>
      </c>
      <c r="H13" s="58" t="n">
        <f aca="false">IF($B13&gt;Annahmen!$C$8,0,IF($B13=0,-Annahmen!$C$66,IF($B13&lt;=Annahmen!$C$67*12,-Annahmen!$C$6/12/100*Annahmen!$C$72*$D13-(Annahmen!$C$73+Annahmen!$C$74+Annahmen!$C$75)/12+IF($B13=Annahmen!$C$67*12,Annahmen!$C$76-(Annahmen!$C$81+Annahmen!$C$41),0),-Annahmen!$C$6/12/100*Annahmen!$C$36*Annahmen!$C$27*$D13-(Annahmen!$C$39+Annahmen!$C$40+Annahmen!$C$42)/12+IF(MOD($B13,12)=0,Annahmen!$C$20,0)+IF($B13=Annahmen!$C$8,Annahmen!$C$82,0))+IF($B13=Annahmen!$C$67*12+Annahmen!$C$19,Annahmen!$C$17*Annahmen!$C$21,0)))</f>
        <v>-230.106666666667</v>
      </c>
      <c r="I13" s="59" t="n">
        <f aca="false">IF($B13&gt;Annahmen!$C$8,0,IF($B13=0,-(Annahmen!$C$86+Annahmen!$C$41)+Annahmen!$C$77,-Annahmen!$C$6/12/100*Annahmen!$C$89*Annahmen!$C$27*$D13-(Annahmen!$C$92+Annahmen!$C$93+Annahmen!$C$94+Annahmen!$C$95)/12+IF(MOD($B13,12)=0,Annahmen!$C$20,0)+IF($B13=Annahmen!$C$8,Annahmen!$C$91,0)))</f>
        <v>-195.246666666667</v>
      </c>
    </row>
    <row r="14" customFormat="false" ht="15" hidden="false" customHeight="true" outlineLevel="0" collapsed="false">
      <c r="B14" s="39" t="n">
        <v>8</v>
      </c>
      <c r="C14" s="57" t="n">
        <f aca="false">1/(1+Annahmen!$C$10)^$B14</f>
        <v>0.980487023349476</v>
      </c>
      <c r="D14" s="57" t="n">
        <f aca="false">(1+Annahmen!$C$11)^INT(MAX($B14-1,0)/12)</f>
        <v>1</v>
      </c>
      <c r="E14" s="58" t="n">
        <f aca="false">IF($B14&gt;Annahmen!$C$8,0,IF($B14=0,-(Annahmen!$C$33+Annahmen!$C$41)+Annahmen!$C$77,-Annahmen!$C$6/12/100*Annahmen!$C$36*Annahmen!$C$27*$D14-(Annahmen!$C$39+Annahmen!$C$40+Annahmen!$C$42)/12+IF($B14=Annahmen!$C$19,Annahmen!$C$17,0)+IF(MOD($B14,12)=0,Annahmen!$C$20,0)+IF($B14=Annahmen!$C$8,Annahmen!$C$38,0)))</f>
        <v>-149.863</v>
      </c>
      <c r="F14" s="58" t="n">
        <f aca="false">IF($B14&gt;Annahmen!$C$8,0,IF($B14=0,-(Annahmen!$C$49+Annahmen!$C$41)+Annahmen!$C$77,-Annahmen!$C$46*(1+Annahmen!$C$48)^INT(($B14-1)/Annahmen!$C$47)-Annahmen!$C$6/12/100*Annahmen!$C$36*Annahmen!$C$27*$D14-(Annahmen!$C$53+Annahmen!$C$54)/12+IF($B14=Annahmen!$C$19,Annahmen!$C$17,0)+IF(MOD($B14,12)=0,Annahmen!$C$20,0)-IF(MOD($B14,Annahmen!$C$47)=0,Annahmen!$C$52,0)-IF(AND(MOD($B14,Annahmen!$C$47)=0,$B14&lt;Annahmen!$C$8),Annahmen!$C$49*(1+Annahmen!$C$48)^($B14/Annahmen!$C$47),0)))</f>
        <v>-388.863</v>
      </c>
      <c r="G14" s="58" t="n">
        <f aca="false">IF($B14&gt;Annahmen!$C$8,0,IF($B14=0,-Annahmen!$C$57+Annahmen!$C$77,-Annahmen!$C$6/12/100*Annahmen!$C$58*Annahmen!$C$28*$D14-(Annahmen!$C$61+Annahmen!$C$62+Annahmen!$C$63)/12+IF($B14=Annahmen!$C$8,Annahmen!$C$60,0)))</f>
        <v>-238.5</v>
      </c>
      <c r="H14" s="58" t="n">
        <f aca="false">IF($B14&gt;Annahmen!$C$8,0,IF($B14=0,-Annahmen!$C$66,IF($B14&lt;=Annahmen!$C$67*12,-Annahmen!$C$6/12/100*Annahmen!$C$72*$D14-(Annahmen!$C$73+Annahmen!$C$74+Annahmen!$C$75)/12+IF($B14=Annahmen!$C$67*12,Annahmen!$C$76-(Annahmen!$C$81+Annahmen!$C$41),0),-Annahmen!$C$6/12/100*Annahmen!$C$36*Annahmen!$C$27*$D14-(Annahmen!$C$39+Annahmen!$C$40+Annahmen!$C$42)/12+IF(MOD($B14,12)=0,Annahmen!$C$20,0)+IF($B14=Annahmen!$C$8,Annahmen!$C$82,0))+IF($B14=Annahmen!$C$67*12+Annahmen!$C$19,Annahmen!$C$17*Annahmen!$C$21,0)))</f>
        <v>-230.106666666667</v>
      </c>
      <c r="I14" s="59" t="n">
        <f aca="false">IF($B14&gt;Annahmen!$C$8,0,IF($B14=0,-(Annahmen!$C$86+Annahmen!$C$41)+Annahmen!$C$77,-Annahmen!$C$6/12/100*Annahmen!$C$89*Annahmen!$C$27*$D14-(Annahmen!$C$92+Annahmen!$C$93+Annahmen!$C$94+Annahmen!$C$95)/12+IF(MOD($B14,12)=0,Annahmen!$C$20,0)+IF($B14=Annahmen!$C$8,Annahmen!$C$91,0)))</f>
        <v>-195.246666666667</v>
      </c>
    </row>
    <row r="15" customFormat="false" ht="15" hidden="false" customHeight="true" outlineLevel="0" collapsed="false">
      <c r="B15" s="39" t="n">
        <v>9</v>
      </c>
      <c r="C15" s="57" t="n">
        <f aca="false">1/(1+Annahmen!$C$10)^$B15</f>
        <v>0.978074826968672</v>
      </c>
      <c r="D15" s="57" t="n">
        <f aca="false">(1+Annahmen!$C$11)^INT(MAX($B15-1,0)/12)</f>
        <v>1</v>
      </c>
      <c r="E15" s="58" t="n">
        <f aca="false">IF($B15&gt;Annahmen!$C$8,0,IF($B15=0,-(Annahmen!$C$33+Annahmen!$C$41)+Annahmen!$C$77,-Annahmen!$C$6/12/100*Annahmen!$C$36*Annahmen!$C$27*$D15-(Annahmen!$C$39+Annahmen!$C$40+Annahmen!$C$42)/12+IF($B15=Annahmen!$C$19,Annahmen!$C$17,0)+IF(MOD($B15,12)=0,Annahmen!$C$20,0)+IF($B15=Annahmen!$C$8,Annahmen!$C$38,0)))</f>
        <v>-149.863</v>
      </c>
      <c r="F15" s="58" t="n">
        <f aca="false">IF($B15&gt;Annahmen!$C$8,0,IF($B15=0,-(Annahmen!$C$49+Annahmen!$C$41)+Annahmen!$C$77,-Annahmen!$C$46*(1+Annahmen!$C$48)^INT(($B15-1)/Annahmen!$C$47)-Annahmen!$C$6/12/100*Annahmen!$C$36*Annahmen!$C$27*$D15-(Annahmen!$C$53+Annahmen!$C$54)/12+IF($B15=Annahmen!$C$19,Annahmen!$C$17,0)+IF(MOD($B15,12)=0,Annahmen!$C$20,0)-IF(MOD($B15,Annahmen!$C$47)=0,Annahmen!$C$52,0)-IF(AND(MOD($B15,Annahmen!$C$47)=0,$B15&lt;Annahmen!$C$8),Annahmen!$C$49*(1+Annahmen!$C$48)^($B15/Annahmen!$C$47),0)))</f>
        <v>-388.863</v>
      </c>
      <c r="G15" s="58" t="n">
        <f aca="false">IF($B15&gt;Annahmen!$C$8,0,IF($B15=0,-Annahmen!$C$57+Annahmen!$C$77,-Annahmen!$C$6/12/100*Annahmen!$C$58*Annahmen!$C$28*$D15-(Annahmen!$C$61+Annahmen!$C$62+Annahmen!$C$63)/12+IF($B15=Annahmen!$C$8,Annahmen!$C$60,0)))</f>
        <v>-238.5</v>
      </c>
      <c r="H15" s="58" t="n">
        <f aca="false">IF($B15&gt;Annahmen!$C$8,0,IF($B15=0,-Annahmen!$C$66,IF($B15&lt;=Annahmen!$C$67*12,-Annahmen!$C$6/12/100*Annahmen!$C$72*$D15-(Annahmen!$C$73+Annahmen!$C$74+Annahmen!$C$75)/12+IF($B15=Annahmen!$C$67*12,Annahmen!$C$76-(Annahmen!$C$81+Annahmen!$C$41),0),-Annahmen!$C$6/12/100*Annahmen!$C$36*Annahmen!$C$27*$D15-(Annahmen!$C$39+Annahmen!$C$40+Annahmen!$C$42)/12+IF(MOD($B15,12)=0,Annahmen!$C$20,0)+IF($B15=Annahmen!$C$8,Annahmen!$C$82,0))+IF($B15=Annahmen!$C$67*12+Annahmen!$C$19,Annahmen!$C$17*Annahmen!$C$21,0)))</f>
        <v>-230.106666666667</v>
      </c>
      <c r="I15" s="59" t="n">
        <f aca="false">IF($B15&gt;Annahmen!$C$8,0,IF($B15=0,-(Annahmen!$C$86+Annahmen!$C$41)+Annahmen!$C$77,-Annahmen!$C$6/12/100*Annahmen!$C$89*Annahmen!$C$27*$D15-(Annahmen!$C$92+Annahmen!$C$93+Annahmen!$C$94+Annahmen!$C$95)/12+IF(MOD($B15,12)=0,Annahmen!$C$20,0)+IF($B15=Annahmen!$C$8,Annahmen!$C$91,0)))</f>
        <v>-195.246666666667</v>
      </c>
    </row>
    <row r="16" customFormat="false" ht="15" hidden="false" customHeight="true" outlineLevel="0" collapsed="false">
      <c r="B16" s="39" t="n">
        <v>10</v>
      </c>
      <c r="C16" s="57" t="n">
        <f aca="false">1/(1+Annahmen!$C$10)^$B16</f>
        <v>0.975668565078831</v>
      </c>
      <c r="D16" s="57" t="n">
        <f aca="false">(1+Annahmen!$C$11)^INT(MAX($B16-1,0)/12)</f>
        <v>1</v>
      </c>
      <c r="E16" s="58" t="n">
        <f aca="false">IF($B16&gt;Annahmen!$C$8,0,IF($B16=0,-(Annahmen!$C$33+Annahmen!$C$41)+Annahmen!$C$77,-Annahmen!$C$6/12/100*Annahmen!$C$36*Annahmen!$C$27*$D16-(Annahmen!$C$39+Annahmen!$C$40+Annahmen!$C$42)/12+IF($B16=Annahmen!$C$19,Annahmen!$C$17,0)+IF(MOD($B16,12)=0,Annahmen!$C$20,0)+IF($B16=Annahmen!$C$8,Annahmen!$C$38,0)))</f>
        <v>-149.863</v>
      </c>
      <c r="F16" s="58" t="n">
        <f aca="false">IF($B16&gt;Annahmen!$C$8,0,IF($B16=0,-(Annahmen!$C$49+Annahmen!$C$41)+Annahmen!$C$77,-Annahmen!$C$46*(1+Annahmen!$C$48)^INT(($B16-1)/Annahmen!$C$47)-Annahmen!$C$6/12/100*Annahmen!$C$36*Annahmen!$C$27*$D16-(Annahmen!$C$53+Annahmen!$C$54)/12+IF($B16=Annahmen!$C$19,Annahmen!$C$17,0)+IF(MOD($B16,12)=0,Annahmen!$C$20,0)-IF(MOD($B16,Annahmen!$C$47)=0,Annahmen!$C$52,0)-IF(AND(MOD($B16,Annahmen!$C$47)=0,$B16&lt;Annahmen!$C$8),Annahmen!$C$49*(1+Annahmen!$C$48)^($B16/Annahmen!$C$47),0)))</f>
        <v>-388.863</v>
      </c>
      <c r="G16" s="58" t="n">
        <f aca="false">IF($B16&gt;Annahmen!$C$8,0,IF($B16=0,-Annahmen!$C$57+Annahmen!$C$77,-Annahmen!$C$6/12/100*Annahmen!$C$58*Annahmen!$C$28*$D16-(Annahmen!$C$61+Annahmen!$C$62+Annahmen!$C$63)/12+IF($B16=Annahmen!$C$8,Annahmen!$C$60,0)))</f>
        <v>-238.5</v>
      </c>
      <c r="H16" s="58" t="n">
        <f aca="false">IF($B16&gt;Annahmen!$C$8,0,IF($B16=0,-Annahmen!$C$66,IF($B16&lt;=Annahmen!$C$67*12,-Annahmen!$C$6/12/100*Annahmen!$C$72*$D16-(Annahmen!$C$73+Annahmen!$C$74+Annahmen!$C$75)/12+IF($B16=Annahmen!$C$67*12,Annahmen!$C$76-(Annahmen!$C$81+Annahmen!$C$41),0),-Annahmen!$C$6/12/100*Annahmen!$C$36*Annahmen!$C$27*$D16-(Annahmen!$C$39+Annahmen!$C$40+Annahmen!$C$42)/12+IF(MOD($B16,12)=0,Annahmen!$C$20,0)+IF($B16=Annahmen!$C$8,Annahmen!$C$82,0))+IF($B16=Annahmen!$C$67*12+Annahmen!$C$19,Annahmen!$C$17*Annahmen!$C$21,0)))</f>
        <v>-230.106666666667</v>
      </c>
      <c r="I16" s="59" t="n">
        <f aca="false">IF($B16&gt;Annahmen!$C$8,0,IF($B16=0,-(Annahmen!$C$86+Annahmen!$C$41)+Annahmen!$C$77,-Annahmen!$C$6/12/100*Annahmen!$C$89*Annahmen!$C$27*$D16-(Annahmen!$C$92+Annahmen!$C$93+Annahmen!$C$94+Annahmen!$C$95)/12+IF(MOD($B16,12)=0,Annahmen!$C$20,0)+IF($B16=Annahmen!$C$8,Annahmen!$C$91,0)))</f>
        <v>-195.246666666667</v>
      </c>
    </row>
    <row r="17" customFormat="false" ht="15" hidden="false" customHeight="true" outlineLevel="0" collapsed="false">
      <c r="B17" s="39" t="n">
        <v>11</v>
      </c>
      <c r="C17" s="57" t="n">
        <f aca="false">1/(1+Annahmen!$C$10)^$B17</f>
        <v>0.973268223079906</v>
      </c>
      <c r="D17" s="57" t="n">
        <f aca="false">(1+Annahmen!$C$11)^INT(MAX($B17-1,0)/12)</f>
        <v>1</v>
      </c>
      <c r="E17" s="58" t="n">
        <f aca="false">IF($B17&gt;Annahmen!$C$8,0,IF($B17=0,-(Annahmen!$C$33+Annahmen!$C$41)+Annahmen!$C$77,-Annahmen!$C$6/12/100*Annahmen!$C$36*Annahmen!$C$27*$D17-(Annahmen!$C$39+Annahmen!$C$40+Annahmen!$C$42)/12+IF($B17=Annahmen!$C$19,Annahmen!$C$17,0)+IF(MOD($B17,12)=0,Annahmen!$C$20,0)+IF($B17=Annahmen!$C$8,Annahmen!$C$38,0)))</f>
        <v>-149.863</v>
      </c>
      <c r="F17" s="58" t="n">
        <f aca="false">IF($B17&gt;Annahmen!$C$8,0,IF($B17=0,-(Annahmen!$C$49+Annahmen!$C$41)+Annahmen!$C$77,-Annahmen!$C$46*(1+Annahmen!$C$48)^INT(($B17-1)/Annahmen!$C$47)-Annahmen!$C$6/12/100*Annahmen!$C$36*Annahmen!$C$27*$D17-(Annahmen!$C$53+Annahmen!$C$54)/12+IF($B17=Annahmen!$C$19,Annahmen!$C$17,0)+IF(MOD($B17,12)=0,Annahmen!$C$20,0)-IF(MOD($B17,Annahmen!$C$47)=0,Annahmen!$C$52,0)-IF(AND(MOD($B17,Annahmen!$C$47)=0,$B17&lt;Annahmen!$C$8),Annahmen!$C$49*(1+Annahmen!$C$48)^($B17/Annahmen!$C$47),0)))</f>
        <v>-388.863</v>
      </c>
      <c r="G17" s="58" t="n">
        <f aca="false">IF($B17&gt;Annahmen!$C$8,0,IF($B17=0,-Annahmen!$C$57+Annahmen!$C$77,-Annahmen!$C$6/12/100*Annahmen!$C$58*Annahmen!$C$28*$D17-(Annahmen!$C$61+Annahmen!$C$62+Annahmen!$C$63)/12+IF($B17=Annahmen!$C$8,Annahmen!$C$60,0)))</f>
        <v>-238.5</v>
      </c>
      <c r="H17" s="58" t="n">
        <f aca="false">IF($B17&gt;Annahmen!$C$8,0,IF($B17=0,-Annahmen!$C$66,IF($B17&lt;=Annahmen!$C$67*12,-Annahmen!$C$6/12/100*Annahmen!$C$72*$D17-(Annahmen!$C$73+Annahmen!$C$74+Annahmen!$C$75)/12+IF($B17=Annahmen!$C$67*12,Annahmen!$C$76-(Annahmen!$C$81+Annahmen!$C$41),0),-Annahmen!$C$6/12/100*Annahmen!$C$36*Annahmen!$C$27*$D17-(Annahmen!$C$39+Annahmen!$C$40+Annahmen!$C$42)/12+IF(MOD($B17,12)=0,Annahmen!$C$20,0)+IF($B17=Annahmen!$C$8,Annahmen!$C$82,0))+IF($B17=Annahmen!$C$67*12+Annahmen!$C$19,Annahmen!$C$17*Annahmen!$C$21,0)))</f>
        <v>-230.106666666667</v>
      </c>
      <c r="I17" s="59" t="n">
        <f aca="false">IF($B17&gt;Annahmen!$C$8,0,IF($B17=0,-(Annahmen!$C$86+Annahmen!$C$41)+Annahmen!$C$77,-Annahmen!$C$6/12/100*Annahmen!$C$89*Annahmen!$C$27*$D17-(Annahmen!$C$92+Annahmen!$C$93+Annahmen!$C$94+Annahmen!$C$95)/12+IF(MOD($B17,12)=0,Annahmen!$C$20,0)+IF($B17=Annahmen!$C$8,Annahmen!$C$91,0)))</f>
        <v>-195.246666666667</v>
      </c>
    </row>
    <row r="18" customFormat="false" ht="15" hidden="false" customHeight="true" outlineLevel="0" collapsed="false">
      <c r="B18" s="53" t="n">
        <v>12</v>
      </c>
      <c r="C18" s="54" t="n">
        <f aca="false">1/(1+Annahmen!$C$10)^$B18</f>
        <v>0.970873786407766</v>
      </c>
      <c r="D18" s="54" t="n">
        <f aca="false">(1+Annahmen!$C$11)^INT(MAX($B18-1,0)/12)</f>
        <v>1</v>
      </c>
      <c r="E18" s="55" t="n">
        <f aca="false">IF($B18&gt;Annahmen!$C$8,0,IF($B18=0,-(Annahmen!$C$33+Annahmen!$C$41)+Annahmen!$C$77,-Annahmen!$C$6/12/100*Annahmen!$C$36*Annahmen!$C$27*$D18-(Annahmen!$C$39+Annahmen!$C$40+Annahmen!$C$42)/12+IF($B18=Annahmen!$C$19,Annahmen!$C$17,0)+IF(MOD($B18,12)=0,Annahmen!$C$20,0)+IF($B18=Annahmen!$C$8,Annahmen!$C$38,0)))</f>
        <v>150.137</v>
      </c>
      <c r="F18" s="55" t="n">
        <f aca="false">IF($B18&gt;Annahmen!$C$8,0,IF($B18=0,-(Annahmen!$C$49+Annahmen!$C$41)+Annahmen!$C$77,-Annahmen!$C$46*(1+Annahmen!$C$48)^INT(($B18-1)/Annahmen!$C$47)-Annahmen!$C$6/12/100*Annahmen!$C$36*Annahmen!$C$27*$D18-(Annahmen!$C$53+Annahmen!$C$54)/12+IF($B18=Annahmen!$C$19,Annahmen!$C$17,0)+IF(MOD($B18,12)=0,Annahmen!$C$20,0)-IF(MOD($B18,Annahmen!$C$47)=0,Annahmen!$C$52,0)-IF(AND(MOD($B18,Annahmen!$C$47)=0,$B18&lt;Annahmen!$C$8),Annahmen!$C$49*(1+Annahmen!$C$48)^($B18/Annahmen!$C$47),0)))</f>
        <v>-88.863</v>
      </c>
      <c r="G18" s="55" t="n">
        <f aca="false">IF($B18&gt;Annahmen!$C$8,0,IF($B18=0,-Annahmen!$C$57+Annahmen!$C$77,-Annahmen!$C$6/12/100*Annahmen!$C$58*Annahmen!$C$28*$D18-(Annahmen!$C$61+Annahmen!$C$62+Annahmen!$C$63)/12+IF($B18=Annahmen!$C$8,Annahmen!$C$60,0)))</f>
        <v>-238.5</v>
      </c>
      <c r="H18" s="55" t="n">
        <f aca="false">IF($B18&gt;Annahmen!$C$8,0,IF($B18=0,-Annahmen!$C$66,IF($B18&lt;=Annahmen!$C$67*12,-Annahmen!$C$6/12/100*Annahmen!$C$72*$D18-(Annahmen!$C$73+Annahmen!$C$74+Annahmen!$C$75)/12+IF($B18=Annahmen!$C$67*12,Annahmen!$C$76-(Annahmen!$C$81+Annahmen!$C$41),0),-Annahmen!$C$6/12/100*Annahmen!$C$36*Annahmen!$C$27*$D18-(Annahmen!$C$39+Annahmen!$C$40+Annahmen!$C$42)/12+IF(MOD($B18,12)=0,Annahmen!$C$20,0)+IF($B18=Annahmen!$C$8,Annahmen!$C$82,0))+IF($B18=Annahmen!$C$67*12+Annahmen!$C$19,Annahmen!$C$17*Annahmen!$C$21,0)))</f>
        <v>-230.106666666667</v>
      </c>
      <c r="I18" s="56" t="n">
        <f aca="false">IF($B18&gt;Annahmen!$C$8,0,IF($B18=0,-(Annahmen!$C$86+Annahmen!$C$41)+Annahmen!$C$77,-Annahmen!$C$6/12/100*Annahmen!$C$89*Annahmen!$C$27*$D18-(Annahmen!$C$92+Annahmen!$C$93+Annahmen!$C$94+Annahmen!$C$95)/12+IF(MOD($B18,12)=0,Annahmen!$C$20,0)+IF($B18=Annahmen!$C$8,Annahmen!$C$91,0)))</f>
        <v>104.753333333333</v>
      </c>
    </row>
    <row r="19" customFormat="false" ht="15" hidden="false" customHeight="true" outlineLevel="0" collapsed="false">
      <c r="B19" s="39" t="n">
        <v>13</v>
      </c>
      <c r="C19" s="57" t="n">
        <f aca="false">1/(1+Annahmen!$C$10)^$B19</f>
        <v>0.968485240534114</v>
      </c>
      <c r="D19" s="57" t="n">
        <f aca="false">(1+Annahmen!$C$11)^INT(MAX($B19-1,0)/12)</f>
        <v>1.02</v>
      </c>
      <c r="E19" s="58" t="n">
        <f aca="false">IF($B19&gt;Annahmen!$C$8,0,IF($B19=0,-(Annahmen!$C$33+Annahmen!$C$41)+Annahmen!$C$77,-Annahmen!$C$6/12/100*Annahmen!$C$36*Annahmen!$C$27*$D19-(Annahmen!$C$39+Annahmen!$C$40+Annahmen!$C$42)/12+IF($B19=Annahmen!$C$19,Annahmen!$C$17,0)+IF(MOD($B19,12)=0,Annahmen!$C$20,0)+IF($B19=Annahmen!$C$8,Annahmen!$C$38,0)))</f>
        <v>-151.11026</v>
      </c>
      <c r="F19" s="58" t="n">
        <f aca="false">IF($B19&gt;Annahmen!$C$8,0,IF($B19=0,-(Annahmen!$C$49+Annahmen!$C$41)+Annahmen!$C$77,-Annahmen!$C$46*(1+Annahmen!$C$48)^INT(($B19-1)/Annahmen!$C$47)-Annahmen!$C$6/12/100*Annahmen!$C$36*Annahmen!$C$27*$D19-(Annahmen!$C$53+Annahmen!$C$54)/12+IF($B19=Annahmen!$C$19,Annahmen!$C$17,0)+IF(MOD($B19,12)=0,Annahmen!$C$20,0)-IF(MOD($B19,Annahmen!$C$47)=0,Annahmen!$C$52,0)-IF(AND(MOD($B19,Annahmen!$C$47)=0,$B19&lt;Annahmen!$C$8),Annahmen!$C$49*(1+Annahmen!$C$48)^($B19/Annahmen!$C$47),0)))</f>
        <v>-390.11026</v>
      </c>
      <c r="G19" s="58" t="n">
        <f aca="false">IF($B19&gt;Annahmen!$C$8,0,IF($B19=0,-Annahmen!$C$57+Annahmen!$C$77,-Annahmen!$C$6/12/100*Annahmen!$C$58*Annahmen!$C$28*$D19-(Annahmen!$C$61+Annahmen!$C$62+Annahmen!$C$63)/12+IF($B19=Annahmen!$C$8,Annahmen!$C$60,0)))</f>
        <v>-241.02</v>
      </c>
      <c r="H19" s="58" t="n">
        <f aca="false">IF($B19&gt;Annahmen!$C$8,0,IF($B19=0,-Annahmen!$C$66,IF($B19&lt;=Annahmen!$C$67*12,-Annahmen!$C$6/12/100*Annahmen!$C$72*$D19-(Annahmen!$C$73+Annahmen!$C$74+Annahmen!$C$75)/12+IF($B19=Annahmen!$C$67*12,Annahmen!$C$76-(Annahmen!$C$81+Annahmen!$C$41),0),-Annahmen!$C$6/12/100*Annahmen!$C$36*Annahmen!$C$27*$D19-(Annahmen!$C$39+Annahmen!$C$40+Annahmen!$C$42)/12+IF(MOD($B19,12)=0,Annahmen!$C$20,0)+IF($B19=Annahmen!$C$8,Annahmen!$C$82,0))+IF($B19=Annahmen!$C$67*12+Annahmen!$C$19,Annahmen!$C$17*Annahmen!$C$21,0)))</f>
        <v>-232.025466666667</v>
      </c>
      <c r="I19" s="59" t="n">
        <f aca="false">IF($B19&gt;Annahmen!$C$8,0,IF($B19=0,-(Annahmen!$C$86+Annahmen!$C$41)+Annahmen!$C$77,-Annahmen!$C$6/12/100*Annahmen!$C$89*Annahmen!$C$27*$D19-(Annahmen!$C$92+Annahmen!$C$93+Annahmen!$C$94+Annahmen!$C$95)/12+IF(MOD($B19,12)=0,Annahmen!$C$20,0)+IF($B19=Annahmen!$C$8,Annahmen!$C$91,0)))</f>
        <v>-196.568266666667</v>
      </c>
    </row>
    <row r="20" customFormat="false" ht="15" hidden="false" customHeight="true" outlineLevel="0" collapsed="false">
      <c r="B20" s="39" t="n">
        <v>14</v>
      </c>
      <c r="C20" s="57" t="n">
        <f aca="false">1/(1+Annahmen!$C$10)^$B20</f>
        <v>0.966102570966395</v>
      </c>
      <c r="D20" s="57" t="n">
        <f aca="false">(1+Annahmen!$C$11)^INT(MAX($B20-1,0)/12)</f>
        <v>1.02</v>
      </c>
      <c r="E20" s="58" t="n">
        <f aca="false">IF($B20&gt;Annahmen!$C$8,0,IF($B20=0,-(Annahmen!$C$33+Annahmen!$C$41)+Annahmen!$C$77,-Annahmen!$C$6/12/100*Annahmen!$C$36*Annahmen!$C$27*$D20-(Annahmen!$C$39+Annahmen!$C$40+Annahmen!$C$42)/12+IF($B20=Annahmen!$C$19,Annahmen!$C$17,0)+IF(MOD($B20,12)=0,Annahmen!$C$20,0)+IF($B20=Annahmen!$C$8,Annahmen!$C$38,0)))</f>
        <v>-151.11026</v>
      </c>
      <c r="F20" s="58" t="n">
        <f aca="false">IF($B20&gt;Annahmen!$C$8,0,IF($B20=0,-(Annahmen!$C$49+Annahmen!$C$41)+Annahmen!$C$77,-Annahmen!$C$46*(1+Annahmen!$C$48)^INT(($B20-1)/Annahmen!$C$47)-Annahmen!$C$6/12/100*Annahmen!$C$36*Annahmen!$C$27*$D20-(Annahmen!$C$53+Annahmen!$C$54)/12+IF($B20=Annahmen!$C$19,Annahmen!$C$17,0)+IF(MOD($B20,12)=0,Annahmen!$C$20,0)-IF(MOD($B20,Annahmen!$C$47)=0,Annahmen!$C$52,0)-IF(AND(MOD($B20,Annahmen!$C$47)=0,$B20&lt;Annahmen!$C$8),Annahmen!$C$49*(1+Annahmen!$C$48)^($B20/Annahmen!$C$47),0)))</f>
        <v>-390.11026</v>
      </c>
      <c r="G20" s="58" t="n">
        <f aca="false">IF($B20&gt;Annahmen!$C$8,0,IF($B20=0,-Annahmen!$C$57+Annahmen!$C$77,-Annahmen!$C$6/12/100*Annahmen!$C$58*Annahmen!$C$28*$D20-(Annahmen!$C$61+Annahmen!$C$62+Annahmen!$C$63)/12+IF($B20=Annahmen!$C$8,Annahmen!$C$60,0)))</f>
        <v>-241.02</v>
      </c>
      <c r="H20" s="58" t="n">
        <f aca="false">IF($B20&gt;Annahmen!$C$8,0,IF($B20=0,-Annahmen!$C$66,IF($B20&lt;=Annahmen!$C$67*12,-Annahmen!$C$6/12/100*Annahmen!$C$72*$D20-(Annahmen!$C$73+Annahmen!$C$74+Annahmen!$C$75)/12+IF($B20=Annahmen!$C$67*12,Annahmen!$C$76-(Annahmen!$C$81+Annahmen!$C$41),0),-Annahmen!$C$6/12/100*Annahmen!$C$36*Annahmen!$C$27*$D20-(Annahmen!$C$39+Annahmen!$C$40+Annahmen!$C$42)/12+IF(MOD($B20,12)=0,Annahmen!$C$20,0)+IF($B20=Annahmen!$C$8,Annahmen!$C$82,0))+IF($B20=Annahmen!$C$67*12+Annahmen!$C$19,Annahmen!$C$17*Annahmen!$C$21,0)))</f>
        <v>-232.025466666667</v>
      </c>
      <c r="I20" s="59" t="n">
        <f aca="false">IF($B20&gt;Annahmen!$C$8,0,IF($B20=0,-(Annahmen!$C$86+Annahmen!$C$41)+Annahmen!$C$77,-Annahmen!$C$6/12/100*Annahmen!$C$89*Annahmen!$C$27*$D20-(Annahmen!$C$92+Annahmen!$C$93+Annahmen!$C$94+Annahmen!$C$95)/12+IF(MOD($B20,12)=0,Annahmen!$C$20,0)+IF($B20=Annahmen!$C$8,Annahmen!$C$91,0)))</f>
        <v>-196.568266666667</v>
      </c>
    </row>
    <row r="21" customFormat="false" ht="15" hidden="false" customHeight="true" outlineLevel="0" collapsed="false">
      <c r="B21" s="39" t="n">
        <v>15</v>
      </c>
      <c r="C21" s="57" t="n">
        <f aca="false">1/(1+Annahmen!$C$10)^$B21</f>
        <v>0.963725763247707</v>
      </c>
      <c r="D21" s="57" t="n">
        <f aca="false">(1+Annahmen!$C$11)^INT(MAX($B21-1,0)/12)</f>
        <v>1.02</v>
      </c>
      <c r="E21" s="58" t="n">
        <f aca="false">IF($B21&gt;Annahmen!$C$8,0,IF($B21=0,-(Annahmen!$C$33+Annahmen!$C$41)+Annahmen!$C$77,-Annahmen!$C$6/12/100*Annahmen!$C$36*Annahmen!$C$27*$D21-(Annahmen!$C$39+Annahmen!$C$40+Annahmen!$C$42)/12+IF($B21=Annahmen!$C$19,Annahmen!$C$17,0)+IF(MOD($B21,12)=0,Annahmen!$C$20,0)+IF($B21=Annahmen!$C$8,Annahmen!$C$38,0)))</f>
        <v>-151.11026</v>
      </c>
      <c r="F21" s="58" t="n">
        <f aca="false">IF($B21&gt;Annahmen!$C$8,0,IF($B21=0,-(Annahmen!$C$49+Annahmen!$C$41)+Annahmen!$C$77,-Annahmen!$C$46*(1+Annahmen!$C$48)^INT(($B21-1)/Annahmen!$C$47)-Annahmen!$C$6/12/100*Annahmen!$C$36*Annahmen!$C$27*$D21-(Annahmen!$C$53+Annahmen!$C$54)/12+IF($B21=Annahmen!$C$19,Annahmen!$C$17,0)+IF(MOD($B21,12)=0,Annahmen!$C$20,0)-IF(MOD($B21,Annahmen!$C$47)=0,Annahmen!$C$52,0)-IF(AND(MOD($B21,Annahmen!$C$47)=0,$B21&lt;Annahmen!$C$8),Annahmen!$C$49*(1+Annahmen!$C$48)^($B21/Annahmen!$C$47),0)))</f>
        <v>-390.11026</v>
      </c>
      <c r="G21" s="58" t="n">
        <f aca="false">IF($B21&gt;Annahmen!$C$8,0,IF($B21=0,-Annahmen!$C$57+Annahmen!$C$77,-Annahmen!$C$6/12/100*Annahmen!$C$58*Annahmen!$C$28*$D21-(Annahmen!$C$61+Annahmen!$C$62+Annahmen!$C$63)/12+IF($B21=Annahmen!$C$8,Annahmen!$C$60,0)))</f>
        <v>-241.02</v>
      </c>
      <c r="H21" s="58" t="n">
        <f aca="false">IF($B21&gt;Annahmen!$C$8,0,IF($B21=0,-Annahmen!$C$66,IF($B21&lt;=Annahmen!$C$67*12,-Annahmen!$C$6/12/100*Annahmen!$C$72*$D21-(Annahmen!$C$73+Annahmen!$C$74+Annahmen!$C$75)/12+IF($B21=Annahmen!$C$67*12,Annahmen!$C$76-(Annahmen!$C$81+Annahmen!$C$41),0),-Annahmen!$C$6/12/100*Annahmen!$C$36*Annahmen!$C$27*$D21-(Annahmen!$C$39+Annahmen!$C$40+Annahmen!$C$42)/12+IF(MOD($B21,12)=0,Annahmen!$C$20,0)+IF($B21=Annahmen!$C$8,Annahmen!$C$82,0))+IF($B21=Annahmen!$C$67*12+Annahmen!$C$19,Annahmen!$C$17*Annahmen!$C$21,0)))</f>
        <v>-232.025466666667</v>
      </c>
      <c r="I21" s="59" t="n">
        <f aca="false">IF($B21&gt;Annahmen!$C$8,0,IF($B21=0,-(Annahmen!$C$86+Annahmen!$C$41)+Annahmen!$C$77,-Annahmen!$C$6/12/100*Annahmen!$C$89*Annahmen!$C$27*$D21-(Annahmen!$C$92+Annahmen!$C$93+Annahmen!$C$94+Annahmen!$C$95)/12+IF(MOD($B21,12)=0,Annahmen!$C$20,0)+IF($B21=Annahmen!$C$8,Annahmen!$C$91,0)))</f>
        <v>-196.568266666667</v>
      </c>
    </row>
    <row r="22" customFormat="false" ht="15" hidden="false" customHeight="true" outlineLevel="0" collapsed="false">
      <c r="B22" s="39" t="n">
        <v>16</v>
      </c>
      <c r="C22" s="57" t="n">
        <f aca="false">1/(1+Annahmen!$C$10)^$B22</f>
        <v>0.961354802956716</v>
      </c>
      <c r="D22" s="57" t="n">
        <f aca="false">(1+Annahmen!$C$11)^INT(MAX($B22-1,0)/12)</f>
        <v>1.02</v>
      </c>
      <c r="E22" s="58" t="n">
        <f aca="false">IF($B22&gt;Annahmen!$C$8,0,IF($B22=0,-(Annahmen!$C$33+Annahmen!$C$41)+Annahmen!$C$77,-Annahmen!$C$6/12/100*Annahmen!$C$36*Annahmen!$C$27*$D22-(Annahmen!$C$39+Annahmen!$C$40+Annahmen!$C$42)/12+IF($B22=Annahmen!$C$19,Annahmen!$C$17,0)+IF(MOD($B22,12)=0,Annahmen!$C$20,0)+IF($B22=Annahmen!$C$8,Annahmen!$C$38,0)))</f>
        <v>-151.11026</v>
      </c>
      <c r="F22" s="58" t="n">
        <f aca="false">IF($B22&gt;Annahmen!$C$8,0,IF($B22=0,-(Annahmen!$C$49+Annahmen!$C$41)+Annahmen!$C$77,-Annahmen!$C$46*(1+Annahmen!$C$48)^INT(($B22-1)/Annahmen!$C$47)-Annahmen!$C$6/12/100*Annahmen!$C$36*Annahmen!$C$27*$D22-(Annahmen!$C$53+Annahmen!$C$54)/12+IF($B22=Annahmen!$C$19,Annahmen!$C$17,0)+IF(MOD($B22,12)=0,Annahmen!$C$20,0)-IF(MOD($B22,Annahmen!$C$47)=0,Annahmen!$C$52,0)-IF(AND(MOD($B22,Annahmen!$C$47)=0,$B22&lt;Annahmen!$C$8),Annahmen!$C$49*(1+Annahmen!$C$48)^($B22/Annahmen!$C$47),0)))</f>
        <v>-390.11026</v>
      </c>
      <c r="G22" s="58" t="n">
        <f aca="false">IF($B22&gt;Annahmen!$C$8,0,IF($B22=0,-Annahmen!$C$57+Annahmen!$C$77,-Annahmen!$C$6/12/100*Annahmen!$C$58*Annahmen!$C$28*$D22-(Annahmen!$C$61+Annahmen!$C$62+Annahmen!$C$63)/12+IF($B22=Annahmen!$C$8,Annahmen!$C$60,0)))</f>
        <v>-241.02</v>
      </c>
      <c r="H22" s="58" t="n">
        <f aca="false">IF($B22&gt;Annahmen!$C$8,0,IF($B22=0,-Annahmen!$C$66,IF($B22&lt;=Annahmen!$C$67*12,-Annahmen!$C$6/12/100*Annahmen!$C$72*$D22-(Annahmen!$C$73+Annahmen!$C$74+Annahmen!$C$75)/12+IF($B22=Annahmen!$C$67*12,Annahmen!$C$76-(Annahmen!$C$81+Annahmen!$C$41),0),-Annahmen!$C$6/12/100*Annahmen!$C$36*Annahmen!$C$27*$D22-(Annahmen!$C$39+Annahmen!$C$40+Annahmen!$C$42)/12+IF(MOD($B22,12)=0,Annahmen!$C$20,0)+IF($B22=Annahmen!$C$8,Annahmen!$C$82,0))+IF($B22=Annahmen!$C$67*12+Annahmen!$C$19,Annahmen!$C$17*Annahmen!$C$21,0)))</f>
        <v>-232.025466666667</v>
      </c>
      <c r="I22" s="59" t="n">
        <f aca="false">IF($B22&gt;Annahmen!$C$8,0,IF($B22=0,-(Annahmen!$C$86+Annahmen!$C$41)+Annahmen!$C$77,-Annahmen!$C$6/12/100*Annahmen!$C$89*Annahmen!$C$27*$D22-(Annahmen!$C$92+Annahmen!$C$93+Annahmen!$C$94+Annahmen!$C$95)/12+IF(MOD($B22,12)=0,Annahmen!$C$20,0)+IF($B22=Annahmen!$C$8,Annahmen!$C$91,0)))</f>
        <v>-196.568266666667</v>
      </c>
    </row>
    <row r="23" customFormat="false" ht="15" hidden="false" customHeight="true" outlineLevel="0" collapsed="false">
      <c r="B23" s="39" t="n">
        <v>17</v>
      </c>
      <c r="C23" s="57" t="n">
        <f aca="false">1/(1+Annahmen!$C$10)^$B23</f>
        <v>0.958989675707567</v>
      </c>
      <c r="D23" s="57" t="n">
        <f aca="false">(1+Annahmen!$C$11)^INT(MAX($B23-1,0)/12)</f>
        <v>1.02</v>
      </c>
      <c r="E23" s="58" t="n">
        <f aca="false">IF($B23&gt;Annahmen!$C$8,0,IF($B23=0,-(Annahmen!$C$33+Annahmen!$C$41)+Annahmen!$C$77,-Annahmen!$C$6/12/100*Annahmen!$C$36*Annahmen!$C$27*$D23-(Annahmen!$C$39+Annahmen!$C$40+Annahmen!$C$42)/12+IF($B23=Annahmen!$C$19,Annahmen!$C$17,0)+IF(MOD($B23,12)=0,Annahmen!$C$20,0)+IF($B23=Annahmen!$C$8,Annahmen!$C$38,0)))</f>
        <v>-151.11026</v>
      </c>
      <c r="F23" s="58" t="n">
        <f aca="false">IF($B23&gt;Annahmen!$C$8,0,IF($B23=0,-(Annahmen!$C$49+Annahmen!$C$41)+Annahmen!$C$77,-Annahmen!$C$46*(1+Annahmen!$C$48)^INT(($B23-1)/Annahmen!$C$47)-Annahmen!$C$6/12/100*Annahmen!$C$36*Annahmen!$C$27*$D23-(Annahmen!$C$53+Annahmen!$C$54)/12+IF($B23=Annahmen!$C$19,Annahmen!$C$17,0)+IF(MOD($B23,12)=0,Annahmen!$C$20,0)-IF(MOD($B23,Annahmen!$C$47)=0,Annahmen!$C$52,0)-IF(AND(MOD($B23,Annahmen!$C$47)=0,$B23&lt;Annahmen!$C$8),Annahmen!$C$49*(1+Annahmen!$C$48)^($B23/Annahmen!$C$47),0)))</f>
        <v>-390.11026</v>
      </c>
      <c r="G23" s="58" t="n">
        <f aca="false">IF($B23&gt;Annahmen!$C$8,0,IF($B23=0,-Annahmen!$C$57+Annahmen!$C$77,-Annahmen!$C$6/12/100*Annahmen!$C$58*Annahmen!$C$28*$D23-(Annahmen!$C$61+Annahmen!$C$62+Annahmen!$C$63)/12+IF($B23=Annahmen!$C$8,Annahmen!$C$60,0)))</f>
        <v>-241.02</v>
      </c>
      <c r="H23" s="58" t="n">
        <f aca="false">IF($B23&gt;Annahmen!$C$8,0,IF($B23=0,-Annahmen!$C$66,IF($B23&lt;=Annahmen!$C$67*12,-Annahmen!$C$6/12/100*Annahmen!$C$72*$D23-(Annahmen!$C$73+Annahmen!$C$74+Annahmen!$C$75)/12+IF($B23=Annahmen!$C$67*12,Annahmen!$C$76-(Annahmen!$C$81+Annahmen!$C$41),0),-Annahmen!$C$6/12/100*Annahmen!$C$36*Annahmen!$C$27*$D23-(Annahmen!$C$39+Annahmen!$C$40+Annahmen!$C$42)/12+IF(MOD($B23,12)=0,Annahmen!$C$20,0)+IF($B23=Annahmen!$C$8,Annahmen!$C$82,0))+IF($B23=Annahmen!$C$67*12+Annahmen!$C$19,Annahmen!$C$17*Annahmen!$C$21,0)))</f>
        <v>-232.025466666667</v>
      </c>
      <c r="I23" s="59" t="n">
        <f aca="false">IF($B23&gt;Annahmen!$C$8,0,IF($B23=0,-(Annahmen!$C$86+Annahmen!$C$41)+Annahmen!$C$77,-Annahmen!$C$6/12/100*Annahmen!$C$89*Annahmen!$C$27*$D23-(Annahmen!$C$92+Annahmen!$C$93+Annahmen!$C$94+Annahmen!$C$95)/12+IF(MOD($B23,12)=0,Annahmen!$C$20,0)+IF($B23=Annahmen!$C$8,Annahmen!$C$91,0)))</f>
        <v>-196.568266666667</v>
      </c>
    </row>
    <row r="24" customFormat="false" ht="15" hidden="false" customHeight="true" outlineLevel="0" collapsed="false">
      <c r="B24" s="39" t="n">
        <v>18</v>
      </c>
      <c r="C24" s="57" t="n">
        <f aca="false">1/(1+Annahmen!$C$10)^$B24</f>
        <v>0.956630367149798</v>
      </c>
      <c r="D24" s="57" t="n">
        <f aca="false">(1+Annahmen!$C$11)^INT(MAX($B24-1,0)/12)</f>
        <v>1.02</v>
      </c>
      <c r="E24" s="58" t="n">
        <f aca="false">IF($B24&gt;Annahmen!$C$8,0,IF($B24=0,-(Annahmen!$C$33+Annahmen!$C$41)+Annahmen!$C$77,-Annahmen!$C$6/12/100*Annahmen!$C$36*Annahmen!$C$27*$D24-(Annahmen!$C$39+Annahmen!$C$40+Annahmen!$C$42)/12+IF($B24=Annahmen!$C$19,Annahmen!$C$17,0)+IF(MOD($B24,12)=0,Annahmen!$C$20,0)+IF($B24=Annahmen!$C$8,Annahmen!$C$38,0)))</f>
        <v>-151.11026</v>
      </c>
      <c r="F24" s="58" t="n">
        <f aca="false">IF($B24&gt;Annahmen!$C$8,0,IF($B24=0,-(Annahmen!$C$49+Annahmen!$C$41)+Annahmen!$C$77,-Annahmen!$C$46*(1+Annahmen!$C$48)^INT(($B24-1)/Annahmen!$C$47)-Annahmen!$C$6/12/100*Annahmen!$C$36*Annahmen!$C$27*$D24-(Annahmen!$C$53+Annahmen!$C$54)/12+IF($B24=Annahmen!$C$19,Annahmen!$C$17,0)+IF(MOD($B24,12)=0,Annahmen!$C$20,0)-IF(MOD($B24,Annahmen!$C$47)=0,Annahmen!$C$52,0)-IF(AND(MOD($B24,Annahmen!$C$47)=0,$B24&lt;Annahmen!$C$8),Annahmen!$C$49*(1+Annahmen!$C$48)^($B24/Annahmen!$C$47),0)))</f>
        <v>-390.11026</v>
      </c>
      <c r="G24" s="58" t="n">
        <f aca="false">IF($B24&gt;Annahmen!$C$8,0,IF($B24=0,-Annahmen!$C$57+Annahmen!$C$77,-Annahmen!$C$6/12/100*Annahmen!$C$58*Annahmen!$C$28*$D24-(Annahmen!$C$61+Annahmen!$C$62+Annahmen!$C$63)/12+IF($B24=Annahmen!$C$8,Annahmen!$C$60,0)))</f>
        <v>-241.02</v>
      </c>
      <c r="H24" s="58" t="n">
        <f aca="false">IF($B24&gt;Annahmen!$C$8,0,IF($B24=0,-Annahmen!$C$66,IF($B24&lt;=Annahmen!$C$67*12,-Annahmen!$C$6/12/100*Annahmen!$C$72*$D24-(Annahmen!$C$73+Annahmen!$C$74+Annahmen!$C$75)/12+IF($B24=Annahmen!$C$67*12,Annahmen!$C$76-(Annahmen!$C$81+Annahmen!$C$41),0),-Annahmen!$C$6/12/100*Annahmen!$C$36*Annahmen!$C$27*$D24-(Annahmen!$C$39+Annahmen!$C$40+Annahmen!$C$42)/12+IF(MOD($B24,12)=0,Annahmen!$C$20,0)+IF($B24=Annahmen!$C$8,Annahmen!$C$82,0))+IF($B24=Annahmen!$C$67*12+Annahmen!$C$19,Annahmen!$C$17*Annahmen!$C$21,0)))</f>
        <v>-232.025466666667</v>
      </c>
      <c r="I24" s="59" t="n">
        <f aca="false">IF($B24&gt;Annahmen!$C$8,0,IF($B24=0,-(Annahmen!$C$86+Annahmen!$C$41)+Annahmen!$C$77,-Annahmen!$C$6/12/100*Annahmen!$C$89*Annahmen!$C$27*$D24-(Annahmen!$C$92+Annahmen!$C$93+Annahmen!$C$94+Annahmen!$C$95)/12+IF(MOD($B24,12)=0,Annahmen!$C$20,0)+IF($B24=Annahmen!$C$8,Annahmen!$C$91,0)))</f>
        <v>-196.568266666667</v>
      </c>
    </row>
    <row r="25" customFormat="false" ht="15" hidden="false" customHeight="true" outlineLevel="0" collapsed="false">
      <c r="B25" s="39" t="n">
        <v>19</v>
      </c>
      <c r="C25" s="57" t="n">
        <f aca="false">1/(1+Annahmen!$C$10)^$B25</f>
        <v>0.95427686296825</v>
      </c>
      <c r="D25" s="57" t="n">
        <f aca="false">(1+Annahmen!$C$11)^INT(MAX($B25-1,0)/12)</f>
        <v>1.02</v>
      </c>
      <c r="E25" s="58" t="n">
        <f aca="false">IF($B25&gt;Annahmen!$C$8,0,IF($B25=0,-(Annahmen!$C$33+Annahmen!$C$41)+Annahmen!$C$77,-Annahmen!$C$6/12/100*Annahmen!$C$36*Annahmen!$C$27*$D25-(Annahmen!$C$39+Annahmen!$C$40+Annahmen!$C$42)/12+IF($B25=Annahmen!$C$19,Annahmen!$C$17,0)+IF(MOD($B25,12)=0,Annahmen!$C$20,0)+IF($B25=Annahmen!$C$8,Annahmen!$C$38,0)))</f>
        <v>-151.11026</v>
      </c>
      <c r="F25" s="58" t="n">
        <f aca="false">IF($B25&gt;Annahmen!$C$8,0,IF($B25=0,-(Annahmen!$C$49+Annahmen!$C$41)+Annahmen!$C$77,-Annahmen!$C$46*(1+Annahmen!$C$48)^INT(($B25-1)/Annahmen!$C$47)-Annahmen!$C$6/12/100*Annahmen!$C$36*Annahmen!$C$27*$D25-(Annahmen!$C$53+Annahmen!$C$54)/12+IF($B25=Annahmen!$C$19,Annahmen!$C$17,0)+IF(MOD($B25,12)=0,Annahmen!$C$20,0)-IF(MOD($B25,Annahmen!$C$47)=0,Annahmen!$C$52,0)-IF(AND(MOD($B25,Annahmen!$C$47)=0,$B25&lt;Annahmen!$C$8),Annahmen!$C$49*(1+Annahmen!$C$48)^($B25/Annahmen!$C$47),0)))</f>
        <v>-390.11026</v>
      </c>
      <c r="G25" s="58" t="n">
        <f aca="false">IF($B25&gt;Annahmen!$C$8,0,IF($B25=0,-Annahmen!$C$57+Annahmen!$C$77,-Annahmen!$C$6/12/100*Annahmen!$C$58*Annahmen!$C$28*$D25-(Annahmen!$C$61+Annahmen!$C$62+Annahmen!$C$63)/12+IF($B25=Annahmen!$C$8,Annahmen!$C$60,0)))</f>
        <v>-241.02</v>
      </c>
      <c r="H25" s="58" t="n">
        <f aca="false">IF($B25&gt;Annahmen!$C$8,0,IF($B25=0,-Annahmen!$C$66,IF($B25&lt;=Annahmen!$C$67*12,-Annahmen!$C$6/12/100*Annahmen!$C$72*$D25-(Annahmen!$C$73+Annahmen!$C$74+Annahmen!$C$75)/12+IF($B25=Annahmen!$C$67*12,Annahmen!$C$76-(Annahmen!$C$81+Annahmen!$C$41),0),-Annahmen!$C$6/12/100*Annahmen!$C$36*Annahmen!$C$27*$D25-(Annahmen!$C$39+Annahmen!$C$40+Annahmen!$C$42)/12+IF(MOD($B25,12)=0,Annahmen!$C$20,0)+IF($B25=Annahmen!$C$8,Annahmen!$C$82,0))+IF($B25=Annahmen!$C$67*12+Annahmen!$C$19,Annahmen!$C$17*Annahmen!$C$21,0)))</f>
        <v>-232.025466666667</v>
      </c>
      <c r="I25" s="59" t="n">
        <f aca="false">IF($B25&gt;Annahmen!$C$8,0,IF($B25=0,-(Annahmen!$C$86+Annahmen!$C$41)+Annahmen!$C$77,-Annahmen!$C$6/12/100*Annahmen!$C$89*Annahmen!$C$27*$D25-(Annahmen!$C$92+Annahmen!$C$93+Annahmen!$C$94+Annahmen!$C$95)/12+IF(MOD($B25,12)=0,Annahmen!$C$20,0)+IF($B25=Annahmen!$C$8,Annahmen!$C$91,0)))</f>
        <v>-196.568266666667</v>
      </c>
    </row>
    <row r="26" customFormat="false" ht="15" hidden="false" customHeight="true" outlineLevel="0" collapsed="false">
      <c r="B26" s="39" t="n">
        <v>20</v>
      </c>
      <c r="C26" s="57" t="n">
        <f aca="false">1/(1+Annahmen!$C$10)^$B26</f>
        <v>0.951929148882986</v>
      </c>
      <c r="D26" s="57" t="n">
        <f aca="false">(1+Annahmen!$C$11)^INT(MAX($B26-1,0)/12)</f>
        <v>1.02</v>
      </c>
      <c r="E26" s="58" t="n">
        <f aca="false">IF($B26&gt;Annahmen!$C$8,0,IF($B26=0,-(Annahmen!$C$33+Annahmen!$C$41)+Annahmen!$C$77,-Annahmen!$C$6/12/100*Annahmen!$C$36*Annahmen!$C$27*$D26-(Annahmen!$C$39+Annahmen!$C$40+Annahmen!$C$42)/12+IF($B26=Annahmen!$C$19,Annahmen!$C$17,0)+IF(MOD($B26,12)=0,Annahmen!$C$20,0)+IF($B26=Annahmen!$C$8,Annahmen!$C$38,0)))</f>
        <v>-151.11026</v>
      </c>
      <c r="F26" s="58" t="n">
        <f aca="false">IF($B26&gt;Annahmen!$C$8,0,IF($B26=0,-(Annahmen!$C$49+Annahmen!$C$41)+Annahmen!$C$77,-Annahmen!$C$46*(1+Annahmen!$C$48)^INT(($B26-1)/Annahmen!$C$47)-Annahmen!$C$6/12/100*Annahmen!$C$36*Annahmen!$C$27*$D26-(Annahmen!$C$53+Annahmen!$C$54)/12+IF($B26=Annahmen!$C$19,Annahmen!$C$17,0)+IF(MOD($B26,12)=0,Annahmen!$C$20,0)-IF(MOD($B26,Annahmen!$C$47)=0,Annahmen!$C$52,0)-IF(AND(MOD($B26,Annahmen!$C$47)=0,$B26&lt;Annahmen!$C$8),Annahmen!$C$49*(1+Annahmen!$C$48)^($B26/Annahmen!$C$47),0)))</f>
        <v>-390.11026</v>
      </c>
      <c r="G26" s="58" t="n">
        <f aca="false">IF($B26&gt;Annahmen!$C$8,0,IF($B26=0,-Annahmen!$C$57+Annahmen!$C$77,-Annahmen!$C$6/12/100*Annahmen!$C$58*Annahmen!$C$28*$D26-(Annahmen!$C$61+Annahmen!$C$62+Annahmen!$C$63)/12+IF($B26=Annahmen!$C$8,Annahmen!$C$60,0)))</f>
        <v>-241.02</v>
      </c>
      <c r="H26" s="58" t="n">
        <f aca="false">IF($B26&gt;Annahmen!$C$8,0,IF($B26=0,-Annahmen!$C$66,IF($B26&lt;=Annahmen!$C$67*12,-Annahmen!$C$6/12/100*Annahmen!$C$72*$D26-(Annahmen!$C$73+Annahmen!$C$74+Annahmen!$C$75)/12+IF($B26=Annahmen!$C$67*12,Annahmen!$C$76-(Annahmen!$C$81+Annahmen!$C$41),0),-Annahmen!$C$6/12/100*Annahmen!$C$36*Annahmen!$C$27*$D26-(Annahmen!$C$39+Annahmen!$C$40+Annahmen!$C$42)/12+IF(MOD($B26,12)=0,Annahmen!$C$20,0)+IF($B26=Annahmen!$C$8,Annahmen!$C$82,0))+IF($B26=Annahmen!$C$67*12+Annahmen!$C$19,Annahmen!$C$17*Annahmen!$C$21,0)))</f>
        <v>-232.025466666667</v>
      </c>
      <c r="I26" s="59" t="n">
        <f aca="false">IF($B26&gt;Annahmen!$C$8,0,IF($B26=0,-(Annahmen!$C$86+Annahmen!$C$41)+Annahmen!$C$77,-Annahmen!$C$6/12/100*Annahmen!$C$89*Annahmen!$C$27*$D26-(Annahmen!$C$92+Annahmen!$C$93+Annahmen!$C$94+Annahmen!$C$95)/12+IF(MOD($B26,12)=0,Annahmen!$C$20,0)+IF($B26=Annahmen!$C$8,Annahmen!$C$91,0)))</f>
        <v>-196.568266666667</v>
      </c>
    </row>
    <row r="27" customFormat="false" ht="15" hidden="false" customHeight="true" outlineLevel="0" collapsed="false">
      <c r="B27" s="39" t="n">
        <v>21</v>
      </c>
      <c r="C27" s="57" t="n">
        <f aca="false">1/(1+Annahmen!$C$10)^$B27</f>
        <v>0.949587210649195</v>
      </c>
      <c r="D27" s="57" t="n">
        <f aca="false">(1+Annahmen!$C$11)^INT(MAX($B27-1,0)/12)</f>
        <v>1.02</v>
      </c>
      <c r="E27" s="58" t="n">
        <f aca="false">IF($B27&gt;Annahmen!$C$8,0,IF($B27=0,-(Annahmen!$C$33+Annahmen!$C$41)+Annahmen!$C$77,-Annahmen!$C$6/12/100*Annahmen!$C$36*Annahmen!$C$27*$D27-(Annahmen!$C$39+Annahmen!$C$40+Annahmen!$C$42)/12+IF($B27=Annahmen!$C$19,Annahmen!$C$17,0)+IF(MOD($B27,12)=0,Annahmen!$C$20,0)+IF($B27=Annahmen!$C$8,Annahmen!$C$38,0)))</f>
        <v>-151.11026</v>
      </c>
      <c r="F27" s="58" t="n">
        <f aca="false">IF($B27&gt;Annahmen!$C$8,0,IF($B27=0,-(Annahmen!$C$49+Annahmen!$C$41)+Annahmen!$C$77,-Annahmen!$C$46*(1+Annahmen!$C$48)^INT(($B27-1)/Annahmen!$C$47)-Annahmen!$C$6/12/100*Annahmen!$C$36*Annahmen!$C$27*$D27-(Annahmen!$C$53+Annahmen!$C$54)/12+IF($B27=Annahmen!$C$19,Annahmen!$C$17,0)+IF(MOD($B27,12)=0,Annahmen!$C$20,0)-IF(MOD($B27,Annahmen!$C$47)=0,Annahmen!$C$52,0)-IF(AND(MOD($B27,Annahmen!$C$47)=0,$B27&lt;Annahmen!$C$8),Annahmen!$C$49*(1+Annahmen!$C$48)^($B27/Annahmen!$C$47),0)))</f>
        <v>-390.11026</v>
      </c>
      <c r="G27" s="58" t="n">
        <f aca="false">IF($B27&gt;Annahmen!$C$8,0,IF($B27=0,-Annahmen!$C$57+Annahmen!$C$77,-Annahmen!$C$6/12/100*Annahmen!$C$58*Annahmen!$C$28*$D27-(Annahmen!$C$61+Annahmen!$C$62+Annahmen!$C$63)/12+IF($B27=Annahmen!$C$8,Annahmen!$C$60,0)))</f>
        <v>-241.02</v>
      </c>
      <c r="H27" s="58" t="n">
        <f aca="false">IF($B27&gt;Annahmen!$C$8,0,IF($B27=0,-Annahmen!$C$66,IF($B27&lt;=Annahmen!$C$67*12,-Annahmen!$C$6/12/100*Annahmen!$C$72*$D27-(Annahmen!$C$73+Annahmen!$C$74+Annahmen!$C$75)/12+IF($B27=Annahmen!$C$67*12,Annahmen!$C$76-(Annahmen!$C$81+Annahmen!$C$41),0),-Annahmen!$C$6/12/100*Annahmen!$C$36*Annahmen!$C$27*$D27-(Annahmen!$C$39+Annahmen!$C$40+Annahmen!$C$42)/12+IF(MOD($B27,12)=0,Annahmen!$C$20,0)+IF($B27=Annahmen!$C$8,Annahmen!$C$82,0))+IF($B27=Annahmen!$C$67*12+Annahmen!$C$19,Annahmen!$C$17*Annahmen!$C$21,0)))</f>
        <v>-232.025466666667</v>
      </c>
      <c r="I27" s="59" t="n">
        <f aca="false">IF($B27&gt;Annahmen!$C$8,0,IF($B27=0,-(Annahmen!$C$86+Annahmen!$C$41)+Annahmen!$C$77,-Annahmen!$C$6/12/100*Annahmen!$C$89*Annahmen!$C$27*$D27-(Annahmen!$C$92+Annahmen!$C$93+Annahmen!$C$94+Annahmen!$C$95)/12+IF(MOD($B27,12)=0,Annahmen!$C$20,0)+IF($B27=Annahmen!$C$8,Annahmen!$C$91,0)))</f>
        <v>-196.568266666667</v>
      </c>
    </row>
    <row r="28" customFormat="false" ht="15" hidden="false" customHeight="true" outlineLevel="0" collapsed="false">
      <c r="B28" s="39" t="n">
        <v>22</v>
      </c>
      <c r="C28" s="57" t="n">
        <f aca="false">1/(1+Annahmen!$C$10)^$B28</f>
        <v>0.947251034057117</v>
      </c>
      <c r="D28" s="57" t="n">
        <f aca="false">(1+Annahmen!$C$11)^INT(MAX($B28-1,0)/12)</f>
        <v>1.02</v>
      </c>
      <c r="E28" s="58" t="n">
        <f aca="false">IF($B28&gt;Annahmen!$C$8,0,IF($B28=0,-(Annahmen!$C$33+Annahmen!$C$41)+Annahmen!$C$77,-Annahmen!$C$6/12/100*Annahmen!$C$36*Annahmen!$C$27*$D28-(Annahmen!$C$39+Annahmen!$C$40+Annahmen!$C$42)/12+IF($B28=Annahmen!$C$19,Annahmen!$C$17,0)+IF(MOD($B28,12)=0,Annahmen!$C$20,0)+IF($B28=Annahmen!$C$8,Annahmen!$C$38,0)))</f>
        <v>-151.11026</v>
      </c>
      <c r="F28" s="58" t="n">
        <f aca="false">IF($B28&gt;Annahmen!$C$8,0,IF($B28=0,-(Annahmen!$C$49+Annahmen!$C$41)+Annahmen!$C$77,-Annahmen!$C$46*(1+Annahmen!$C$48)^INT(($B28-1)/Annahmen!$C$47)-Annahmen!$C$6/12/100*Annahmen!$C$36*Annahmen!$C$27*$D28-(Annahmen!$C$53+Annahmen!$C$54)/12+IF($B28=Annahmen!$C$19,Annahmen!$C$17,0)+IF(MOD($B28,12)=0,Annahmen!$C$20,0)-IF(MOD($B28,Annahmen!$C$47)=0,Annahmen!$C$52,0)-IF(AND(MOD($B28,Annahmen!$C$47)=0,$B28&lt;Annahmen!$C$8),Annahmen!$C$49*(1+Annahmen!$C$48)^($B28/Annahmen!$C$47),0)))</f>
        <v>-390.11026</v>
      </c>
      <c r="G28" s="58" t="n">
        <f aca="false">IF($B28&gt;Annahmen!$C$8,0,IF($B28=0,-Annahmen!$C$57+Annahmen!$C$77,-Annahmen!$C$6/12/100*Annahmen!$C$58*Annahmen!$C$28*$D28-(Annahmen!$C$61+Annahmen!$C$62+Annahmen!$C$63)/12+IF($B28=Annahmen!$C$8,Annahmen!$C$60,0)))</f>
        <v>-241.02</v>
      </c>
      <c r="H28" s="58" t="n">
        <f aca="false">IF($B28&gt;Annahmen!$C$8,0,IF($B28=0,-Annahmen!$C$66,IF($B28&lt;=Annahmen!$C$67*12,-Annahmen!$C$6/12/100*Annahmen!$C$72*$D28-(Annahmen!$C$73+Annahmen!$C$74+Annahmen!$C$75)/12+IF($B28=Annahmen!$C$67*12,Annahmen!$C$76-(Annahmen!$C$81+Annahmen!$C$41),0),-Annahmen!$C$6/12/100*Annahmen!$C$36*Annahmen!$C$27*$D28-(Annahmen!$C$39+Annahmen!$C$40+Annahmen!$C$42)/12+IF(MOD($B28,12)=0,Annahmen!$C$20,0)+IF($B28=Annahmen!$C$8,Annahmen!$C$82,0))+IF($B28=Annahmen!$C$67*12+Annahmen!$C$19,Annahmen!$C$17*Annahmen!$C$21,0)))</f>
        <v>-232.025466666667</v>
      </c>
      <c r="I28" s="59" t="n">
        <f aca="false">IF($B28&gt;Annahmen!$C$8,0,IF($B28=0,-(Annahmen!$C$86+Annahmen!$C$41)+Annahmen!$C$77,-Annahmen!$C$6/12/100*Annahmen!$C$89*Annahmen!$C$27*$D28-(Annahmen!$C$92+Annahmen!$C$93+Annahmen!$C$94+Annahmen!$C$95)/12+IF(MOD($B28,12)=0,Annahmen!$C$20,0)+IF($B28=Annahmen!$C$8,Annahmen!$C$91,0)))</f>
        <v>-196.568266666667</v>
      </c>
    </row>
    <row r="29" customFormat="false" ht="15" hidden="false" customHeight="true" outlineLevel="0" collapsed="false">
      <c r="B29" s="39" t="n">
        <v>23</v>
      </c>
      <c r="C29" s="57" t="n">
        <f aca="false">1/(1+Annahmen!$C$10)^$B29</f>
        <v>0.944920604931946</v>
      </c>
      <c r="D29" s="57" t="n">
        <f aca="false">(1+Annahmen!$C$11)^INT(MAX($B29-1,0)/12)</f>
        <v>1.02</v>
      </c>
      <c r="E29" s="58" t="n">
        <f aca="false">IF($B29&gt;Annahmen!$C$8,0,IF($B29=0,-(Annahmen!$C$33+Annahmen!$C$41)+Annahmen!$C$77,-Annahmen!$C$6/12/100*Annahmen!$C$36*Annahmen!$C$27*$D29-(Annahmen!$C$39+Annahmen!$C$40+Annahmen!$C$42)/12+IF($B29=Annahmen!$C$19,Annahmen!$C$17,0)+IF(MOD($B29,12)=0,Annahmen!$C$20,0)+IF($B29=Annahmen!$C$8,Annahmen!$C$38,0)))</f>
        <v>-151.11026</v>
      </c>
      <c r="F29" s="58" t="n">
        <f aca="false">IF($B29&gt;Annahmen!$C$8,0,IF($B29=0,-(Annahmen!$C$49+Annahmen!$C$41)+Annahmen!$C$77,-Annahmen!$C$46*(1+Annahmen!$C$48)^INT(($B29-1)/Annahmen!$C$47)-Annahmen!$C$6/12/100*Annahmen!$C$36*Annahmen!$C$27*$D29-(Annahmen!$C$53+Annahmen!$C$54)/12+IF($B29=Annahmen!$C$19,Annahmen!$C$17,0)+IF(MOD($B29,12)=0,Annahmen!$C$20,0)-IF(MOD($B29,Annahmen!$C$47)=0,Annahmen!$C$52,0)-IF(AND(MOD($B29,Annahmen!$C$47)=0,$B29&lt;Annahmen!$C$8),Annahmen!$C$49*(1+Annahmen!$C$48)^($B29/Annahmen!$C$47),0)))</f>
        <v>-390.11026</v>
      </c>
      <c r="G29" s="58" t="n">
        <f aca="false">IF($B29&gt;Annahmen!$C$8,0,IF($B29=0,-Annahmen!$C$57+Annahmen!$C$77,-Annahmen!$C$6/12/100*Annahmen!$C$58*Annahmen!$C$28*$D29-(Annahmen!$C$61+Annahmen!$C$62+Annahmen!$C$63)/12+IF($B29=Annahmen!$C$8,Annahmen!$C$60,0)))</f>
        <v>-241.02</v>
      </c>
      <c r="H29" s="58" t="n">
        <f aca="false">IF($B29&gt;Annahmen!$C$8,0,IF($B29=0,-Annahmen!$C$66,IF($B29&lt;=Annahmen!$C$67*12,-Annahmen!$C$6/12/100*Annahmen!$C$72*$D29-(Annahmen!$C$73+Annahmen!$C$74+Annahmen!$C$75)/12+IF($B29=Annahmen!$C$67*12,Annahmen!$C$76-(Annahmen!$C$81+Annahmen!$C$41),0),-Annahmen!$C$6/12/100*Annahmen!$C$36*Annahmen!$C$27*$D29-(Annahmen!$C$39+Annahmen!$C$40+Annahmen!$C$42)/12+IF(MOD($B29,12)=0,Annahmen!$C$20,0)+IF($B29=Annahmen!$C$8,Annahmen!$C$82,0))+IF($B29=Annahmen!$C$67*12+Annahmen!$C$19,Annahmen!$C$17*Annahmen!$C$21,0)))</f>
        <v>-232.025466666667</v>
      </c>
      <c r="I29" s="59" t="n">
        <f aca="false">IF($B29&gt;Annahmen!$C$8,0,IF($B29=0,-(Annahmen!$C$86+Annahmen!$C$41)+Annahmen!$C$77,-Annahmen!$C$6/12/100*Annahmen!$C$89*Annahmen!$C$27*$D29-(Annahmen!$C$92+Annahmen!$C$93+Annahmen!$C$94+Annahmen!$C$95)/12+IF(MOD($B29,12)=0,Annahmen!$C$20,0)+IF($B29=Annahmen!$C$8,Annahmen!$C$91,0)))</f>
        <v>-196.568266666667</v>
      </c>
    </row>
    <row r="30" customFormat="false" ht="15" hidden="false" customHeight="true" outlineLevel="0" collapsed="false">
      <c r="B30" s="53" t="n">
        <v>24</v>
      </c>
      <c r="C30" s="54" t="n">
        <f aca="false">1/(1+Annahmen!$C$10)^$B30</f>
        <v>0.942595909133753</v>
      </c>
      <c r="D30" s="54" t="n">
        <f aca="false">(1+Annahmen!$C$11)^INT(MAX($B30-1,0)/12)</f>
        <v>1.02</v>
      </c>
      <c r="E30" s="55" t="n">
        <f aca="false">IF($B30&gt;Annahmen!$C$8,0,IF($B30=0,-(Annahmen!$C$33+Annahmen!$C$41)+Annahmen!$C$77,-Annahmen!$C$6/12/100*Annahmen!$C$36*Annahmen!$C$27*$D30-(Annahmen!$C$39+Annahmen!$C$40+Annahmen!$C$42)/12+IF($B30=Annahmen!$C$19,Annahmen!$C$17,0)+IF(MOD($B30,12)=0,Annahmen!$C$20,0)+IF($B30=Annahmen!$C$8,Annahmen!$C$38,0)))</f>
        <v>148.88974</v>
      </c>
      <c r="F30" s="55" t="n">
        <f aca="false">IF($B30&gt;Annahmen!$C$8,0,IF($B30=0,-(Annahmen!$C$49+Annahmen!$C$41)+Annahmen!$C$77,-Annahmen!$C$46*(1+Annahmen!$C$48)^INT(($B30-1)/Annahmen!$C$47)-Annahmen!$C$6/12/100*Annahmen!$C$36*Annahmen!$C$27*$D30-(Annahmen!$C$53+Annahmen!$C$54)/12+IF($B30=Annahmen!$C$19,Annahmen!$C$17,0)+IF(MOD($B30,12)=0,Annahmen!$C$20,0)-IF(MOD($B30,Annahmen!$C$47)=0,Annahmen!$C$52,0)-IF(AND(MOD($B30,Annahmen!$C$47)=0,$B30&lt;Annahmen!$C$8),Annahmen!$C$49*(1+Annahmen!$C$48)^($B30/Annahmen!$C$47),0)))</f>
        <v>-90.11026</v>
      </c>
      <c r="G30" s="55" t="n">
        <f aca="false">IF($B30&gt;Annahmen!$C$8,0,IF($B30=0,-Annahmen!$C$57+Annahmen!$C$77,-Annahmen!$C$6/12/100*Annahmen!$C$58*Annahmen!$C$28*$D30-(Annahmen!$C$61+Annahmen!$C$62+Annahmen!$C$63)/12+IF($B30=Annahmen!$C$8,Annahmen!$C$60,0)))</f>
        <v>-241.02</v>
      </c>
      <c r="H30" s="55" t="n">
        <f aca="false">IF($B30&gt;Annahmen!$C$8,0,IF($B30=0,-Annahmen!$C$66,IF($B30&lt;=Annahmen!$C$67*12,-Annahmen!$C$6/12/100*Annahmen!$C$72*$D30-(Annahmen!$C$73+Annahmen!$C$74+Annahmen!$C$75)/12+IF($B30=Annahmen!$C$67*12,Annahmen!$C$76-(Annahmen!$C$81+Annahmen!$C$41),0),-Annahmen!$C$6/12/100*Annahmen!$C$36*Annahmen!$C$27*$D30-(Annahmen!$C$39+Annahmen!$C$40+Annahmen!$C$42)/12+IF(MOD($B30,12)=0,Annahmen!$C$20,0)+IF($B30=Annahmen!$C$8,Annahmen!$C$82,0))+IF($B30=Annahmen!$C$67*12+Annahmen!$C$19,Annahmen!$C$17*Annahmen!$C$21,0)))</f>
        <v>-25554.4029666667</v>
      </c>
      <c r="I30" s="56" t="n">
        <f aca="false">IF($B30&gt;Annahmen!$C$8,0,IF($B30=0,-(Annahmen!$C$86+Annahmen!$C$41)+Annahmen!$C$77,-Annahmen!$C$6/12/100*Annahmen!$C$89*Annahmen!$C$27*$D30-(Annahmen!$C$92+Annahmen!$C$93+Annahmen!$C$94+Annahmen!$C$95)/12+IF(MOD($B30,12)=0,Annahmen!$C$20,0)+IF($B30=Annahmen!$C$8,Annahmen!$C$91,0)))</f>
        <v>103.431733333333</v>
      </c>
    </row>
    <row r="31" customFormat="false" ht="15" hidden="false" customHeight="true" outlineLevel="0" collapsed="false">
      <c r="B31" s="39" t="n">
        <v>25</v>
      </c>
      <c r="C31" s="57" t="n">
        <f aca="false">1/(1+Annahmen!$C$10)^$B31</f>
        <v>0.940276932557392</v>
      </c>
      <c r="D31" s="57" t="n">
        <f aca="false">(1+Annahmen!$C$11)^INT(MAX($B31-1,0)/12)</f>
        <v>1.0404</v>
      </c>
      <c r="E31" s="58" t="n">
        <f aca="false">IF($B31&gt;Annahmen!$C$8,0,IF($B31=0,-(Annahmen!$C$33+Annahmen!$C$41)+Annahmen!$C$77,-Annahmen!$C$6/12/100*Annahmen!$C$36*Annahmen!$C$27*$D31-(Annahmen!$C$39+Annahmen!$C$40+Annahmen!$C$42)/12+IF($B31=Annahmen!$C$19,Annahmen!$C$17,0)+IF(MOD($B31,12)=0,Annahmen!$C$20,0)+IF($B31=Annahmen!$C$8,Annahmen!$C$38,0)))</f>
        <v>-152.3824652</v>
      </c>
      <c r="F31" s="58" t="n">
        <f aca="false">IF($B31&gt;Annahmen!$C$8,0,IF($B31=0,-(Annahmen!$C$49+Annahmen!$C$41)+Annahmen!$C$77,-Annahmen!$C$46*(1+Annahmen!$C$48)^INT(($B31-1)/Annahmen!$C$47)-Annahmen!$C$6/12/100*Annahmen!$C$36*Annahmen!$C$27*$D31-(Annahmen!$C$53+Annahmen!$C$54)/12+IF($B31=Annahmen!$C$19,Annahmen!$C$17,0)+IF(MOD($B31,12)=0,Annahmen!$C$20,0)-IF(MOD($B31,Annahmen!$C$47)=0,Annahmen!$C$52,0)-IF(AND(MOD($B31,Annahmen!$C$47)=0,$B31&lt;Annahmen!$C$8),Annahmen!$C$49*(1+Annahmen!$C$48)^($B31/Annahmen!$C$47),0)))</f>
        <v>-391.3824652</v>
      </c>
      <c r="G31" s="58" t="n">
        <f aca="false">IF($B31&gt;Annahmen!$C$8,0,IF($B31=0,-Annahmen!$C$57+Annahmen!$C$77,-Annahmen!$C$6/12/100*Annahmen!$C$58*Annahmen!$C$28*$D31-(Annahmen!$C$61+Annahmen!$C$62+Annahmen!$C$63)/12+IF($B31=Annahmen!$C$8,Annahmen!$C$60,0)))</f>
        <v>-243.5904</v>
      </c>
      <c r="H31" s="58" t="n">
        <f aca="false">IF($B31&gt;Annahmen!$C$8,0,IF($B31=0,-Annahmen!$C$66,IF($B31&lt;=Annahmen!$C$67*12,-Annahmen!$C$6/12/100*Annahmen!$C$72*$D31-(Annahmen!$C$73+Annahmen!$C$74+Annahmen!$C$75)/12+IF($B31=Annahmen!$C$67*12,Annahmen!$C$76-(Annahmen!$C$81+Annahmen!$C$41),0),-Annahmen!$C$6/12/100*Annahmen!$C$36*Annahmen!$C$27*$D31-(Annahmen!$C$39+Annahmen!$C$40+Annahmen!$C$42)/12+IF(MOD($B31,12)=0,Annahmen!$C$20,0)+IF($B31=Annahmen!$C$8,Annahmen!$C$82,0))+IF($B31=Annahmen!$C$67*12+Annahmen!$C$19,Annahmen!$C$17*Annahmen!$C$21,0)))</f>
        <v>-152.3824652</v>
      </c>
      <c r="I31" s="59" t="n">
        <f aca="false">IF($B31&gt;Annahmen!$C$8,0,IF($B31=0,-(Annahmen!$C$86+Annahmen!$C$41)+Annahmen!$C$77,-Annahmen!$C$6/12/100*Annahmen!$C$89*Annahmen!$C$27*$D31-(Annahmen!$C$92+Annahmen!$C$93+Annahmen!$C$94+Annahmen!$C$95)/12+IF(MOD($B31,12)=0,Annahmen!$C$20,0)+IF($B31=Annahmen!$C$8,Annahmen!$C$91,0)))</f>
        <v>-197.916298666667</v>
      </c>
    </row>
    <row r="32" customFormat="false" ht="15" hidden="false" customHeight="true" outlineLevel="0" collapsed="false">
      <c r="B32" s="39" t="n">
        <v>26</v>
      </c>
      <c r="C32" s="57" t="n">
        <f aca="false">1/(1+Annahmen!$C$10)^$B32</f>
        <v>0.937963661132422</v>
      </c>
      <c r="D32" s="57" t="n">
        <f aca="false">(1+Annahmen!$C$11)^INT(MAX($B32-1,0)/12)</f>
        <v>1.0404</v>
      </c>
      <c r="E32" s="58" t="n">
        <f aca="false">IF($B32&gt;Annahmen!$C$8,0,IF($B32=0,-(Annahmen!$C$33+Annahmen!$C$41)+Annahmen!$C$77,-Annahmen!$C$6/12/100*Annahmen!$C$36*Annahmen!$C$27*$D32-(Annahmen!$C$39+Annahmen!$C$40+Annahmen!$C$42)/12+IF($B32=Annahmen!$C$19,Annahmen!$C$17,0)+IF(MOD($B32,12)=0,Annahmen!$C$20,0)+IF($B32=Annahmen!$C$8,Annahmen!$C$38,0)))</f>
        <v>-152.3824652</v>
      </c>
      <c r="F32" s="58" t="n">
        <f aca="false">IF($B32&gt;Annahmen!$C$8,0,IF($B32=0,-(Annahmen!$C$49+Annahmen!$C$41)+Annahmen!$C$77,-Annahmen!$C$46*(1+Annahmen!$C$48)^INT(($B32-1)/Annahmen!$C$47)-Annahmen!$C$6/12/100*Annahmen!$C$36*Annahmen!$C$27*$D32-(Annahmen!$C$53+Annahmen!$C$54)/12+IF($B32=Annahmen!$C$19,Annahmen!$C$17,0)+IF(MOD($B32,12)=0,Annahmen!$C$20,0)-IF(MOD($B32,Annahmen!$C$47)=0,Annahmen!$C$52,0)-IF(AND(MOD($B32,Annahmen!$C$47)=0,$B32&lt;Annahmen!$C$8),Annahmen!$C$49*(1+Annahmen!$C$48)^($B32/Annahmen!$C$47),0)))</f>
        <v>-391.3824652</v>
      </c>
      <c r="G32" s="58" t="n">
        <f aca="false">IF($B32&gt;Annahmen!$C$8,0,IF($B32=0,-Annahmen!$C$57+Annahmen!$C$77,-Annahmen!$C$6/12/100*Annahmen!$C$58*Annahmen!$C$28*$D32-(Annahmen!$C$61+Annahmen!$C$62+Annahmen!$C$63)/12+IF($B32=Annahmen!$C$8,Annahmen!$C$60,0)))</f>
        <v>-243.5904</v>
      </c>
      <c r="H32" s="58" t="n">
        <f aca="false">IF($B32&gt;Annahmen!$C$8,0,IF($B32=0,-Annahmen!$C$66,IF($B32&lt;=Annahmen!$C$67*12,-Annahmen!$C$6/12/100*Annahmen!$C$72*$D32-(Annahmen!$C$73+Annahmen!$C$74+Annahmen!$C$75)/12+IF($B32=Annahmen!$C$67*12,Annahmen!$C$76-(Annahmen!$C$81+Annahmen!$C$41),0),-Annahmen!$C$6/12/100*Annahmen!$C$36*Annahmen!$C$27*$D32-(Annahmen!$C$39+Annahmen!$C$40+Annahmen!$C$42)/12+IF(MOD($B32,12)=0,Annahmen!$C$20,0)+IF($B32=Annahmen!$C$8,Annahmen!$C$82,0))+IF($B32=Annahmen!$C$67*12+Annahmen!$C$19,Annahmen!$C$17*Annahmen!$C$21,0)))</f>
        <v>-152.3824652</v>
      </c>
      <c r="I32" s="59" t="n">
        <f aca="false">IF($B32&gt;Annahmen!$C$8,0,IF($B32=0,-(Annahmen!$C$86+Annahmen!$C$41)+Annahmen!$C$77,-Annahmen!$C$6/12/100*Annahmen!$C$89*Annahmen!$C$27*$D32-(Annahmen!$C$92+Annahmen!$C$93+Annahmen!$C$94+Annahmen!$C$95)/12+IF(MOD($B32,12)=0,Annahmen!$C$20,0)+IF($B32=Annahmen!$C$8,Annahmen!$C$91,0)))</f>
        <v>-197.916298666667</v>
      </c>
    </row>
    <row r="33" customFormat="false" ht="15" hidden="false" customHeight="true" outlineLevel="0" collapsed="false">
      <c r="B33" s="39" t="n">
        <v>27</v>
      </c>
      <c r="C33" s="57" t="n">
        <f aca="false">1/(1+Annahmen!$C$10)^$B33</f>
        <v>0.935656080823016</v>
      </c>
      <c r="D33" s="57" t="n">
        <f aca="false">(1+Annahmen!$C$11)^INT(MAX($B33-1,0)/12)</f>
        <v>1.0404</v>
      </c>
      <c r="E33" s="58" t="n">
        <f aca="false">IF($B33&gt;Annahmen!$C$8,0,IF($B33=0,-(Annahmen!$C$33+Annahmen!$C$41)+Annahmen!$C$77,-Annahmen!$C$6/12/100*Annahmen!$C$36*Annahmen!$C$27*$D33-(Annahmen!$C$39+Annahmen!$C$40+Annahmen!$C$42)/12+IF($B33=Annahmen!$C$19,Annahmen!$C$17,0)+IF(MOD($B33,12)=0,Annahmen!$C$20,0)+IF($B33=Annahmen!$C$8,Annahmen!$C$38,0)))</f>
        <v>-152.3824652</v>
      </c>
      <c r="F33" s="58" t="n">
        <f aca="false">IF($B33&gt;Annahmen!$C$8,0,IF($B33=0,-(Annahmen!$C$49+Annahmen!$C$41)+Annahmen!$C$77,-Annahmen!$C$46*(1+Annahmen!$C$48)^INT(($B33-1)/Annahmen!$C$47)-Annahmen!$C$6/12/100*Annahmen!$C$36*Annahmen!$C$27*$D33-(Annahmen!$C$53+Annahmen!$C$54)/12+IF($B33=Annahmen!$C$19,Annahmen!$C$17,0)+IF(MOD($B33,12)=0,Annahmen!$C$20,0)-IF(MOD($B33,Annahmen!$C$47)=0,Annahmen!$C$52,0)-IF(AND(MOD($B33,Annahmen!$C$47)=0,$B33&lt;Annahmen!$C$8),Annahmen!$C$49*(1+Annahmen!$C$48)^($B33/Annahmen!$C$47),0)))</f>
        <v>-391.3824652</v>
      </c>
      <c r="G33" s="58" t="n">
        <f aca="false">IF($B33&gt;Annahmen!$C$8,0,IF($B33=0,-Annahmen!$C$57+Annahmen!$C$77,-Annahmen!$C$6/12/100*Annahmen!$C$58*Annahmen!$C$28*$D33-(Annahmen!$C$61+Annahmen!$C$62+Annahmen!$C$63)/12+IF($B33=Annahmen!$C$8,Annahmen!$C$60,0)))</f>
        <v>-243.5904</v>
      </c>
      <c r="H33" s="58" t="n">
        <f aca="false">IF($B33&gt;Annahmen!$C$8,0,IF($B33=0,-Annahmen!$C$66,IF($B33&lt;=Annahmen!$C$67*12,-Annahmen!$C$6/12/100*Annahmen!$C$72*$D33-(Annahmen!$C$73+Annahmen!$C$74+Annahmen!$C$75)/12+IF($B33=Annahmen!$C$67*12,Annahmen!$C$76-(Annahmen!$C$81+Annahmen!$C$41),0),-Annahmen!$C$6/12/100*Annahmen!$C$36*Annahmen!$C$27*$D33-(Annahmen!$C$39+Annahmen!$C$40+Annahmen!$C$42)/12+IF(MOD($B33,12)=0,Annahmen!$C$20,0)+IF($B33=Annahmen!$C$8,Annahmen!$C$82,0))+IF($B33=Annahmen!$C$67*12+Annahmen!$C$19,Annahmen!$C$17*Annahmen!$C$21,0)))</f>
        <v>-152.3824652</v>
      </c>
      <c r="I33" s="59" t="n">
        <f aca="false">IF($B33&gt;Annahmen!$C$8,0,IF($B33=0,-(Annahmen!$C$86+Annahmen!$C$41)+Annahmen!$C$77,-Annahmen!$C$6/12/100*Annahmen!$C$89*Annahmen!$C$27*$D33-(Annahmen!$C$92+Annahmen!$C$93+Annahmen!$C$94+Annahmen!$C$95)/12+IF(MOD($B33,12)=0,Annahmen!$C$20,0)+IF($B33=Annahmen!$C$8,Annahmen!$C$91,0)))</f>
        <v>-197.916298666667</v>
      </c>
    </row>
    <row r="34" customFormat="false" ht="15" hidden="false" customHeight="true" outlineLevel="0" collapsed="false">
      <c r="B34" s="39" t="n">
        <v>28</v>
      </c>
      <c r="C34" s="57" t="n">
        <f aca="false">1/(1+Annahmen!$C$10)^$B34</f>
        <v>0.933354177627879</v>
      </c>
      <c r="D34" s="57" t="n">
        <f aca="false">(1+Annahmen!$C$11)^INT(MAX($B34-1,0)/12)</f>
        <v>1.0404</v>
      </c>
      <c r="E34" s="58" t="n">
        <f aca="false">IF($B34&gt;Annahmen!$C$8,0,IF($B34=0,-(Annahmen!$C$33+Annahmen!$C$41)+Annahmen!$C$77,-Annahmen!$C$6/12/100*Annahmen!$C$36*Annahmen!$C$27*$D34-(Annahmen!$C$39+Annahmen!$C$40+Annahmen!$C$42)/12+IF($B34=Annahmen!$C$19,Annahmen!$C$17,0)+IF(MOD($B34,12)=0,Annahmen!$C$20,0)+IF($B34=Annahmen!$C$8,Annahmen!$C$38,0)))</f>
        <v>-152.3824652</v>
      </c>
      <c r="F34" s="58" t="n">
        <f aca="false">IF($B34&gt;Annahmen!$C$8,0,IF($B34=0,-(Annahmen!$C$49+Annahmen!$C$41)+Annahmen!$C$77,-Annahmen!$C$46*(1+Annahmen!$C$48)^INT(($B34-1)/Annahmen!$C$47)-Annahmen!$C$6/12/100*Annahmen!$C$36*Annahmen!$C$27*$D34-(Annahmen!$C$53+Annahmen!$C$54)/12+IF($B34=Annahmen!$C$19,Annahmen!$C$17,0)+IF(MOD($B34,12)=0,Annahmen!$C$20,0)-IF(MOD($B34,Annahmen!$C$47)=0,Annahmen!$C$52,0)-IF(AND(MOD($B34,Annahmen!$C$47)=0,$B34&lt;Annahmen!$C$8),Annahmen!$C$49*(1+Annahmen!$C$48)^($B34/Annahmen!$C$47),0)))</f>
        <v>-391.3824652</v>
      </c>
      <c r="G34" s="58" t="n">
        <f aca="false">IF($B34&gt;Annahmen!$C$8,0,IF($B34=0,-Annahmen!$C$57+Annahmen!$C$77,-Annahmen!$C$6/12/100*Annahmen!$C$58*Annahmen!$C$28*$D34-(Annahmen!$C$61+Annahmen!$C$62+Annahmen!$C$63)/12+IF($B34=Annahmen!$C$8,Annahmen!$C$60,0)))</f>
        <v>-243.5904</v>
      </c>
      <c r="H34" s="58" t="n">
        <f aca="false">IF($B34&gt;Annahmen!$C$8,0,IF($B34=0,-Annahmen!$C$66,IF($B34&lt;=Annahmen!$C$67*12,-Annahmen!$C$6/12/100*Annahmen!$C$72*$D34-(Annahmen!$C$73+Annahmen!$C$74+Annahmen!$C$75)/12+IF($B34=Annahmen!$C$67*12,Annahmen!$C$76-(Annahmen!$C$81+Annahmen!$C$41),0),-Annahmen!$C$6/12/100*Annahmen!$C$36*Annahmen!$C$27*$D34-(Annahmen!$C$39+Annahmen!$C$40+Annahmen!$C$42)/12+IF(MOD($B34,12)=0,Annahmen!$C$20,0)+IF($B34=Annahmen!$C$8,Annahmen!$C$82,0))+IF($B34=Annahmen!$C$67*12+Annahmen!$C$19,Annahmen!$C$17*Annahmen!$C$21,0)))</f>
        <v>3847.6175348</v>
      </c>
      <c r="I34" s="59" t="n">
        <f aca="false">IF($B34&gt;Annahmen!$C$8,0,IF($B34=0,-(Annahmen!$C$86+Annahmen!$C$41)+Annahmen!$C$77,-Annahmen!$C$6/12/100*Annahmen!$C$89*Annahmen!$C$27*$D34-(Annahmen!$C$92+Annahmen!$C$93+Annahmen!$C$94+Annahmen!$C$95)/12+IF(MOD($B34,12)=0,Annahmen!$C$20,0)+IF($B34=Annahmen!$C$8,Annahmen!$C$91,0)))</f>
        <v>-197.916298666667</v>
      </c>
    </row>
    <row r="35" customFormat="false" ht="15" hidden="false" customHeight="true" outlineLevel="0" collapsed="false">
      <c r="B35" s="39" t="n">
        <v>29</v>
      </c>
      <c r="C35" s="57" t="n">
        <f aca="false">1/(1+Annahmen!$C$10)^$B35</f>
        <v>0.931057937580161</v>
      </c>
      <c r="D35" s="57" t="n">
        <f aca="false">(1+Annahmen!$C$11)^INT(MAX($B35-1,0)/12)</f>
        <v>1.0404</v>
      </c>
      <c r="E35" s="58" t="n">
        <f aca="false">IF($B35&gt;Annahmen!$C$8,0,IF($B35=0,-(Annahmen!$C$33+Annahmen!$C$41)+Annahmen!$C$77,-Annahmen!$C$6/12/100*Annahmen!$C$36*Annahmen!$C$27*$D35-(Annahmen!$C$39+Annahmen!$C$40+Annahmen!$C$42)/12+IF($B35=Annahmen!$C$19,Annahmen!$C$17,0)+IF(MOD($B35,12)=0,Annahmen!$C$20,0)+IF($B35=Annahmen!$C$8,Annahmen!$C$38,0)))</f>
        <v>-152.3824652</v>
      </c>
      <c r="F35" s="58" t="n">
        <f aca="false">IF($B35&gt;Annahmen!$C$8,0,IF($B35=0,-(Annahmen!$C$49+Annahmen!$C$41)+Annahmen!$C$77,-Annahmen!$C$46*(1+Annahmen!$C$48)^INT(($B35-1)/Annahmen!$C$47)-Annahmen!$C$6/12/100*Annahmen!$C$36*Annahmen!$C$27*$D35-(Annahmen!$C$53+Annahmen!$C$54)/12+IF($B35=Annahmen!$C$19,Annahmen!$C$17,0)+IF(MOD($B35,12)=0,Annahmen!$C$20,0)-IF(MOD($B35,Annahmen!$C$47)=0,Annahmen!$C$52,0)-IF(AND(MOD($B35,Annahmen!$C$47)=0,$B35&lt;Annahmen!$C$8),Annahmen!$C$49*(1+Annahmen!$C$48)^($B35/Annahmen!$C$47),0)))</f>
        <v>-391.3824652</v>
      </c>
      <c r="G35" s="58" t="n">
        <f aca="false">IF($B35&gt;Annahmen!$C$8,0,IF($B35=0,-Annahmen!$C$57+Annahmen!$C$77,-Annahmen!$C$6/12/100*Annahmen!$C$58*Annahmen!$C$28*$D35-(Annahmen!$C$61+Annahmen!$C$62+Annahmen!$C$63)/12+IF($B35=Annahmen!$C$8,Annahmen!$C$60,0)))</f>
        <v>-243.5904</v>
      </c>
      <c r="H35" s="58" t="n">
        <f aca="false">IF($B35&gt;Annahmen!$C$8,0,IF($B35=0,-Annahmen!$C$66,IF($B35&lt;=Annahmen!$C$67*12,-Annahmen!$C$6/12/100*Annahmen!$C$72*$D35-(Annahmen!$C$73+Annahmen!$C$74+Annahmen!$C$75)/12+IF($B35=Annahmen!$C$67*12,Annahmen!$C$76-(Annahmen!$C$81+Annahmen!$C$41),0),-Annahmen!$C$6/12/100*Annahmen!$C$36*Annahmen!$C$27*$D35-(Annahmen!$C$39+Annahmen!$C$40+Annahmen!$C$42)/12+IF(MOD($B35,12)=0,Annahmen!$C$20,0)+IF($B35=Annahmen!$C$8,Annahmen!$C$82,0))+IF($B35=Annahmen!$C$67*12+Annahmen!$C$19,Annahmen!$C$17*Annahmen!$C$21,0)))</f>
        <v>-152.3824652</v>
      </c>
      <c r="I35" s="59" t="n">
        <f aca="false">IF($B35&gt;Annahmen!$C$8,0,IF($B35=0,-(Annahmen!$C$86+Annahmen!$C$41)+Annahmen!$C$77,-Annahmen!$C$6/12/100*Annahmen!$C$89*Annahmen!$C$27*$D35-(Annahmen!$C$92+Annahmen!$C$93+Annahmen!$C$94+Annahmen!$C$95)/12+IF(MOD($B35,12)=0,Annahmen!$C$20,0)+IF($B35=Annahmen!$C$8,Annahmen!$C$91,0)))</f>
        <v>-197.916298666667</v>
      </c>
    </row>
    <row r="36" customFormat="false" ht="15" hidden="false" customHeight="true" outlineLevel="0" collapsed="false">
      <c r="B36" s="39" t="n">
        <v>30</v>
      </c>
      <c r="C36" s="57" t="n">
        <f aca="false">1/(1+Annahmen!$C$10)^$B36</f>
        <v>0.928767346747376</v>
      </c>
      <c r="D36" s="57" t="n">
        <f aca="false">(1+Annahmen!$C$11)^INT(MAX($B36-1,0)/12)</f>
        <v>1.0404</v>
      </c>
      <c r="E36" s="58" t="n">
        <f aca="false">IF($B36&gt;Annahmen!$C$8,0,IF($B36=0,-(Annahmen!$C$33+Annahmen!$C$41)+Annahmen!$C$77,-Annahmen!$C$6/12/100*Annahmen!$C$36*Annahmen!$C$27*$D36-(Annahmen!$C$39+Annahmen!$C$40+Annahmen!$C$42)/12+IF($B36=Annahmen!$C$19,Annahmen!$C$17,0)+IF(MOD($B36,12)=0,Annahmen!$C$20,0)+IF($B36=Annahmen!$C$8,Annahmen!$C$38,0)))</f>
        <v>-152.3824652</v>
      </c>
      <c r="F36" s="58" t="n">
        <f aca="false">IF($B36&gt;Annahmen!$C$8,0,IF($B36=0,-(Annahmen!$C$49+Annahmen!$C$41)+Annahmen!$C$77,-Annahmen!$C$46*(1+Annahmen!$C$48)^INT(($B36-1)/Annahmen!$C$47)-Annahmen!$C$6/12/100*Annahmen!$C$36*Annahmen!$C$27*$D36-(Annahmen!$C$53+Annahmen!$C$54)/12+IF($B36=Annahmen!$C$19,Annahmen!$C$17,0)+IF(MOD($B36,12)=0,Annahmen!$C$20,0)-IF(MOD($B36,Annahmen!$C$47)=0,Annahmen!$C$52,0)-IF(AND(MOD($B36,Annahmen!$C$47)=0,$B36&lt;Annahmen!$C$8),Annahmen!$C$49*(1+Annahmen!$C$48)^($B36/Annahmen!$C$47),0)))</f>
        <v>-391.3824652</v>
      </c>
      <c r="G36" s="58" t="n">
        <f aca="false">IF($B36&gt;Annahmen!$C$8,0,IF($B36=0,-Annahmen!$C$57+Annahmen!$C$77,-Annahmen!$C$6/12/100*Annahmen!$C$58*Annahmen!$C$28*$D36-(Annahmen!$C$61+Annahmen!$C$62+Annahmen!$C$63)/12+IF($B36=Annahmen!$C$8,Annahmen!$C$60,0)))</f>
        <v>-243.5904</v>
      </c>
      <c r="H36" s="58" t="n">
        <f aca="false">IF($B36&gt;Annahmen!$C$8,0,IF($B36=0,-Annahmen!$C$66,IF($B36&lt;=Annahmen!$C$67*12,-Annahmen!$C$6/12/100*Annahmen!$C$72*$D36-(Annahmen!$C$73+Annahmen!$C$74+Annahmen!$C$75)/12+IF($B36=Annahmen!$C$67*12,Annahmen!$C$76-(Annahmen!$C$81+Annahmen!$C$41),0),-Annahmen!$C$6/12/100*Annahmen!$C$36*Annahmen!$C$27*$D36-(Annahmen!$C$39+Annahmen!$C$40+Annahmen!$C$42)/12+IF(MOD($B36,12)=0,Annahmen!$C$20,0)+IF($B36=Annahmen!$C$8,Annahmen!$C$82,0))+IF($B36=Annahmen!$C$67*12+Annahmen!$C$19,Annahmen!$C$17*Annahmen!$C$21,0)))</f>
        <v>-152.3824652</v>
      </c>
      <c r="I36" s="59" t="n">
        <f aca="false">IF($B36&gt;Annahmen!$C$8,0,IF($B36=0,-(Annahmen!$C$86+Annahmen!$C$41)+Annahmen!$C$77,-Annahmen!$C$6/12/100*Annahmen!$C$89*Annahmen!$C$27*$D36-(Annahmen!$C$92+Annahmen!$C$93+Annahmen!$C$94+Annahmen!$C$95)/12+IF(MOD($B36,12)=0,Annahmen!$C$20,0)+IF($B36=Annahmen!$C$8,Annahmen!$C$91,0)))</f>
        <v>-197.916298666667</v>
      </c>
    </row>
    <row r="37" customFormat="false" ht="15" hidden="false" customHeight="true" outlineLevel="0" collapsed="false">
      <c r="B37" s="39" t="n">
        <v>31</v>
      </c>
      <c r="C37" s="57" t="n">
        <f aca="false">1/(1+Annahmen!$C$10)^$B37</f>
        <v>0.92648239123131</v>
      </c>
      <c r="D37" s="57" t="n">
        <f aca="false">(1+Annahmen!$C$11)^INT(MAX($B37-1,0)/12)</f>
        <v>1.0404</v>
      </c>
      <c r="E37" s="58" t="n">
        <f aca="false">IF($B37&gt;Annahmen!$C$8,0,IF($B37=0,-(Annahmen!$C$33+Annahmen!$C$41)+Annahmen!$C$77,-Annahmen!$C$6/12/100*Annahmen!$C$36*Annahmen!$C$27*$D37-(Annahmen!$C$39+Annahmen!$C$40+Annahmen!$C$42)/12+IF($B37=Annahmen!$C$19,Annahmen!$C$17,0)+IF(MOD($B37,12)=0,Annahmen!$C$20,0)+IF($B37=Annahmen!$C$8,Annahmen!$C$38,0)))</f>
        <v>-152.3824652</v>
      </c>
      <c r="F37" s="58" t="n">
        <f aca="false">IF($B37&gt;Annahmen!$C$8,0,IF($B37=0,-(Annahmen!$C$49+Annahmen!$C$41)+Annahmen!$C$77,-Annahmen!$C$46*(1+Annahmen!$C$48)^INT(($B37-1)/Annahmen!$C$47)-Annahmen!$C$6/12/100*Annahmen!$C$36*Annahmen!$C$27*$D37-(Annahmen!$C$53+Annahmen!$C$54)/12+IF($B37=Annahmen!$C$19,Annahmen!$C$17,0)+IF(MOD($B37,12)=0,Annahmen!$C$20,0)-IF(MOD($B37,Annahmen!$C$47)=0,Annahmen!$C$52,0)-IF(AND(MOD($B37,Annahmen!$C$47)=0,$B37&lt;Annahmen!$C$8),Annahmen!$C$49*(1+Annahmen!$C$48)^($B37/Annahmen!$C$47),0)))</f>
        <v>-391.3824652</v>
      </c>
      <c r="G37" s="58" t="n">
        <f aca="false">IF($B37&gt;Annahmen!$C$8,0,IF($B37=0,-Annahmen!$C$57+Annahmen!$C$77,-Annahmen!$C$6/12/100*Annahmen!$C$58*Annahmen!$C$28*$D37-(Annahmen!$C$61+Annahmen!$C$62+Annahmen!$C$63)/12+IF($B37=Annahmen!$C$8,Annahmen!$C$60,0)))</f>
        <v>-243.5904</v>
      </c>
      <c r="H37" s="58" t="n">
        <f aca="false">IF($B37&gt;Annahmen!$C$8,0,IF($B37=0,-Annahmen!$C$66,IF($B37&lt;=Annahmen!$C$67*12,-Annahmen!$C$6/12/100*Annahmen!$C$72*$D37-(Annahmen!$C$73+Annahmen!$C$74+Annahmen!$C$75)/12+IF($B37=Annahmen!$C$67*12,Annahmen!$C$76-(Annahmen!$C$81+Annahmen!$C$41),0),-Annahmen!$C$6/12/100*Annahmen!$C$36*Annahmen!$C$27*$D37-(Annahmen!$C$39+Annahmen!$C$40+Annahmen!$C$42)/12+IF(MOD($B37,12)=0,Annahmen!$C$20,0)+IF($B37=Annahmen!$C$8,Annahmen!$C$82,0))+IF($B37=Annahmen!$C$67*12+Annahmen!$C$19,Annahmen!$C$17*Annahmen!$C$21,0)))</f>
        <v>-152.3824652</v>
      </c>
      <c r="I37" s="59" t="n">
        <f aca="false">IF($B37&gt;Annahmen!$C$8,0,IF($B37=0,-(Annahmen!$C$86+Annahmen!$C$41)+Annahmen!$C$77,-Annahmen!$C$6/12/100*Annahmen!$C$89*Annahmen!$C$27*$D37-(Annahmen!$C$92+Annahmen!$C$93+Annahmen!$C$94+Annahmen!$C$95)/12+IF(MOD($B37,12)=0,Annahmen!$C$20,0)+IF($B37=Annahmen!$C$8,Annahmen!$C$91,0)))</f>
        <v>-197.916298666667</v>
      </c>
    </row>
    <row r="38" customFormat="false" ht="15" hidden="false" customHeight="true" outlineLevel="0" collapsed="false">
      <c r="B38" s="39" t="n">
        <v>32</v>
      </c>
      <c r="C38" s="57" t="n">
        <f aca="false">1/(1+Annahmen!$C$10)^$B38</f>
        <v>0.924203057167946</v>
      </c>
      <c r="D38" s="57" t="n">
        <f aca="false">(1+Annahmen!$C$11)^INT(MAX($B38-1,0)/12)</f>
        <v>1.0404</v>
      </c>
      <c r="E38" s="58" t="n">
        <f aca="false">IF($B38&gt;Annahmen!$C$8,0,IF($B38=0,-(Annahmen!$C$33+Annahmen!$C$41)+Annahmen!$C$77,-Annahmen!$C$6/12/100*Annahmen!$C$36*Annahmen!$C$27*$D38-(Annahmen!$C$39+Annahmen!$C$40+Annahmen!$C$42)/12+IF($B38=Annahmen!$C$19,Annahmen!$C$17,0)+IF(MOD($B38,12)=0,Annahmen!$C$20,0)+IF($B38=Annahmen!$C$8,Annahmen!$C$38,0)))</f>
        <v>-152.3824652</v>
      </c>
      <c r="F38" s="58" t="n">
        <f aca="false">IF($B38&gt;Annahmen!$C$8,0,IF($B38=0,-(Annahmen!$C$49+Annahmen!$C$41)+Annahmen!$C$77,-Annahmen!$C$46*(1+Annahmen!$C$48)^INT(($B38-1)/Annahmen!$C$47)-Annahmen!$C$6/12/100*Annahmen!$C$36*Annahmen!$C$27*$D38-(Annahmen!$C$53+Annahmen!$C$54)/12+IF($B38=Annahmen!$C$19,Annahmen!$C$17,0)+IF(MOD($B38,12)=0,Annahmen!$C$20,0)-IF(MOD($B38,Annahmen!$C$47)=0,Annahmen!$C$52,0)-IF(AND(MOD($B38,Annahmen!$C$47)=0,$B38&lt;Annahmen!$C$8),Annahmen!$C$49*(1+Annahmen!$C$48)^($B38/Annahmen!$C$47),0)))</f>
        <v>-391.3824652</v>
      </c>
      <c r="G38" s="58" t="n">
        <f aca="false">IF($B38&gt;Annahmen!$C$8,0,IF($B38=0,-Annahmen!$C$57+Annahmen!$C$77,-Annahmen!$C$6/12/100*Annahmen!$C$58*Annahmen!$C$28*$D38-(Annahmen!$C$61+Annahmen!$C$62+Annahmen!$C$63)/12+IF($B38=Annahmen!$C$8,Annahmen!$C$60,0)))</f>
        <v>-243.5904</v>
      </c>
      <c r="H38" s="58" t="n">
        <f aca="false">IF($B38&gt;Annahmen!$C$8,0,IF($B38=0,-Annahmen!$C$66,IF($B38&lt;=Annahmen!$C$67*12,-Annahmen!$C$6/12/100*Annahmen!$C$72*$D38-(Annahmen!$C$73+Annahmen!$C$74+Annahmen!$C$75)/12+IF($B38=Annahmen!$C$67*12,Annahmen!$C$76-(Annahmen!$C$81+Annahmen!$C$41),0),-Annahmen!$C$6/12/100*Annahmen!$C$36*Annahmen!$C$27*$D38-(Annahmen!$C$39+Annahmen!$C$40+Annahmen!$C$42)/12+IF(MOD($B38,12)=0,Annahmen!$C$20,0)+IF($B38=Annahmen!$C$8,Annahmen!$C$82,0))+IF($B38=Annahmen!$C$67*12+Annahmen!$C$19,Annahmen!$C$17*Annahmen!$C$21,0)))</f>
        <v>-152.3824652</v>
      </c>
      <c r="I38" s="59" t="n">
        <f aca="false">IF($B38&gt;Annahmen!$C$8,0,IF($B38=0,-(Annahmen!$C$86+Annahmen!$C$41)+Annahmen!$C$77,-Annahmen!$C$6/12/100*Annahmen!$C$89*Annahmen!$C$27*$D38-(Annahmen!$C$92+Annahmen!$C$93+Annahmen!$C$94+Annahmen!$C$95)/12+IF(MOD($B38,12)=0,Annahmen!$C$20,0)+IF($B38=Annahmen!$C$8,Annahmen!$C$91,0)))</f>
        <v>-197.916298666667</v>
      </c>
    </row>
    <row r="39" customFormat="false" ht="15" hidden="false" customHeight="true" outlineLevel="0" collapsed="false">
      <c r="B39" s="39" t="n">
        <v>33</v>
      </c>
      <c r="C39" s="57" t="n">
        <f aca="false">1/(1+Annahmen!$C$10)^$B39</f>
        <v>0.921929330727373</v>
      </c>
      <c r="D39" s="57" t="n">
        <f aca="false">(1+Annahmen!$C$11)^INT(MAX($B39-1,0)/12)</f>
        <v>1.0404</v>
      </c>
      <c r="E39" s="58" t="n">
        <f aca="false">IF($B39&gt;Annahmen!$C$8,0,IF($B39=0,-(Annahmen!$C$33+Annahmen!$C$41)+Annahmen!$C$77,-Annahmen!$C$6/12/100*Annahmen!$C$36*Annahmen!$C$27*$D39-(Annahmen!$C$39+Annahmen!$C$40+Annahmen!$C$42)/12+IF($B39=Annahmen!$C$19,Annahmen!$C$17,0)+IF(MOD($B39,12)=0,Annahmen!$C$20,0)+IF($B39=Annahmen!$C$8,Annahmen!$C$38,0)))</f>
        <v>-152.3824652</v>
      </c>
      <c r="F39" s="58" t="n">
        <f aca="false">IF($B39&gt;Annahmen!$C$8,0,IF($B39=0,-(Annahmen!$C$49+Annahmen!$C$41)+Annahmen!$C$77,-Annahmen!$C$46*(1+Annahmen!$C$48)^INT(($B39-1)/Annahmen!$C$47)-Annahmen!$C$6/12/100*Annahmen!$C$36*Annahmen!$C$27*$D39-(Annahmen!$C$53+Annahmen!$C$54)/12+IF($B39=Annahmen!$C$19,Annahmen!$C$17,0)+IF(MOD($B39,12)=0,Annahmen!$C$20,0)-IF(MOD($B39,Annahmen!$C$47)=0,Annahmen!$C$52,0)-IF(AND(MOD($B39,Annahmen!$C$47)=0,$B39&lt;Annahmen!$C$8),Annahmen!$C$49*(1+Annahmen!$C$48)^($B39/Annahmen!$C$47),0)))</f>
        <v>-391.3824652</v>
      </c>
      <c r="G39" s="58" t="n">
        <f aca="false">IF($B39&gt;Annahmen!$C$8,0,IF($B39=0,-Annahmen!$C$57+Annahmen!$C$77,-Annahmen!$C$6/12/100*Annahmen!$C$58*Annahmen!$C$28*$D39-(Annahmen!$C$61+Annahmen!$C$62+Annahmen!$C$63)/12+IF($B39=Annahmen!$C$8,Annahmen!$C$60,0)))</f>
        <v>-243.5904</v>
      </c>
      <c r="H39" s="58" t="n">
        <f aca="false">IF($B39&gt;Annahmen!$C$8,0,IF($B39=0,-Annahmen!$C$66,IF($B39&lt;=Annahmen!$C$67*12,-Annahmen!$C$6/12/100*Annahmen!$C$72*$D39-(Annahmen!$C$73+Annahmen!$C$74+Annahmen!$C$75)/12+IF($B39=Annahmen!$C$67*12,Annahmen!$C$76-(Annahmen!$C$81+Annahmen!$C$41),0),-Annahmen!$C$6/12/100*Annahmen!$C$36*Annahmen!$C$27*$D39-(Annahmen!$C$39+Annahmen!$C$40+Annahmen!$C$42)/12+IF(MOD($B39,12)=0,Annahmen!$C$20,0)+IF($B39=Annahmen!$C$8,Annahmen!$C$82,0))+IF($B39=Annahmen!$C$67*12+Annahmen!$C$19,Annahmen!$C$17*Annahmen!$C$21,0)))</f>
        <v>-152.3824652</v>
      </c>
      <c r="I39" s="59" t="n">
        <f aca="false">IF($B39&gt;Annahmen!$C$8,0,IF($B39=0,-(Annahmen!$C$86+Annahmen!$C$41)+Annahmen!$C$77,-Annahmen!$C$6/12/100*Annahmen!$C$89*Annahmen!$C$27*$D39-(Annahmen!$C$92+Annahmen!$C$93+Annahmen!$C$94+Annahmen!$C$95)/12+IF(MOD($B39,12)=0,Annahmen!$C$20,0)+IF($B39=Annahmen!$C$8,Annahmen!$C$91,0)))</f>
        <v>-197.916298666667</v>
      </c>
    </row>
    <row r="40" customFormat="false" ht="15" hidden="false" customHeight="true" outlineLevel="0" collapsed="false">
      <c r="B40" s="39" t="n">
        <v>34</v>
      </c>
      <c r="C40" s="57" t="n">
        <f aca="false">1/(1+Annahmen!$C$10)^$B40</f>
        <v>0.919661198113705</v>
      </c>
      <c r="D40" s="57" t="n">
        <f aca="false">(1+Annahmen!$C$11)^INT(MAX($B40-1,0)/12)</f>
        <v>1.0404</v>
      </c>
      <c r="E40" s="58" t="n">
        <f aca="false">IF($B40&gt;Annahmen!$C$8,0,IF($B40=0,-(Annahmen!$C$33+Annahmen!$C$41)+Annahmen!$C$77,-Annahmen!$C$6/12/100*Annahmen!$C$36*Annahmen!$C$27*$D40-(Annahmen!$C$39+Annahmen!$C$40+Annahmen!$C$42)/12+IF($B40=Annahmen!$C$19,Annahmen!$C$17,0)+IF(MOD($B40,12)=0,Annahmen!$C$20,0)+IF($B40=Annahmen!$C$8,Annahmen!$C$38,0)))</f>
        <v>-152.3824652</v>
      </c>
      <c r="F40" s="58" t="n">
        <f aca="false">IF($B40&gt;Annahmen!$C$8,0,IF($B40=0,-(Annahmen!$C$49+Annahmen!$C$41)+Annahmen!$C$77,-Annahmen!$C$46*(1+Annahmen!$C$48)^INT(($B40-1)/Annahmen!$C$47)-Annahmen!$C$6/12/100*Annahmen!$C$36*Annahmen!$C$27*$D40-(Annahmen!$C$53+Annahmen!$C$54)/12+IF($B40=Annahmen!$C$19,Annahmen!$C$17,0)+IF(MOD($B40,12)=0,Annahmen!$C$20,0)-IF(MOD($B40,Annahmen!$C$47)=0,Annahmen!$C$52,0)-IF(AND(MOD($B40,Annahmen!$C$47)=0,$B40&lt;Annahmen!$C$8),Annahmen!$C$49*(1+Annahmen!$C$48)^($B40/Annahmen!$C$47),0)))</f>
        <v>-391.3824652</v>
      </c>
      <c r="G40" s="58" t="n">
        <f aca="false">IF($B40&gt;Annahmen!$C$8,0,IF($B40=0,-Annahmen!$C$57+Annahmen!$C$77,-Annahmen!$C$6/12/100*Annahmen!$C$58*Annahmen!$C$28*$D40-(Annahmen!$C$61+Annahmen!$C$62+Annahmen!$C$63)/12+IF($B40=Annahmen!$C$8,Annahmen!$C$60,0)))</f>
        <v>-243.5904</v>
      </c>
      <c r="H40" s="58" t="n">
        <f aca="false">IF($B40&gt;Annahmen!$C$8,0,IF($B40=0,-Annahmen!$C$66,IF($B40&lt;=Annahmen!$C$67*12,-Annahmen!$C$6/12/100*Annahmen!$C$72*$D40-(Annahmen!$C$73+Annahmen!$C$74+Annahmen!$C$75)/12+IF($B40=Annahmen!$C$67*12,Annahmen!$C$76-(Annahmen!$C$81+Annahmen!$C$41),0),-Annahmen!$C$6/12/100*Annahmen!$C$36*Annahmen!$C$27*$D40-(Annahmen!$C$39+Annahmen!$C$40+Annahmen!$C$42)/12+IF(MOD($B40,12)=0,Annahmen!$C$20,0)+IF($B40=Annahmen!$C$8,Annahmen!$C$82,0))+IF($B40=Annahmen!$C$67*12+Annahmen!$C$19,Annahmen!$C$17*Annahmen!$C$21,0)))</f>
        <v>-152.3824652</v>
      </c>
      <c r="I40" s="59" t="n">
        <f aca="false">IF($B40&gt;Annahmen!$C$8,0,IF($B40=0,-(Annahmen!$C$86+Annahmen!$C$41)+Annahmen!$C$77,-Annahmen!$C$6/12/100*Annahmen!$C$89*Annahmen!$C$27*$D40-(Annahmen!$C$92+Annahmen!$C$93+Annahmen!$C$94+Annahmen!$C$95)/12+IF(MOD($B40,12)=0,Annahmen!$C$20,0)+IF($B40=Annahmen!$C$8,Annahmen!$C$91,0)))</f>
        <v>-197.916298666667</v>
      </c>
    </row>
    <row r="41" customFormat="false" ht="15" hidden="false" customHeight="true" outlineLevel="0" collapsed="false">
      <c r="B41" s="39" t="n">
        <v>35</v>
      </c>
      <c r="C41" s="57" t="n">
        <f aca="false">1/(1+Annahmen!$C$10)^$B41</f>
        <v>0.917398645564995</v>
      </c>
      <c r="D41" s="57" t="n">
        <f aca="false">(1+Annahmen!$C$11)^INT(MAX($B41-1,0)/12)</f>
        <v>1.0404</v>
      </c>
      <c r="E41" s="58" t="n">
        <f aca="false">IF($B41&gt;Annahmen!$C$8,0,IF($B41=0,-(Annahmen!$C$33+Annahmen!$C$41)+Annahmen!$C$77,-Annahmen!$C$6/12/100*Annahmen!$C$36*Annahmen!$C$27*$D41-(Annahmen!$C$39+Annahmen!$C$40+Annahmen!$C$42)/12+IF($B41=Annahmen!$C$19,Annahmen!$C$17,0)+IF(MOD($B41,12)=0,Annahmen!$C$20,0)+IF($B41=Annahmen!$C$8,Annahmen!$C$38,0)))</f>
        <v>-152.3824652</v>
      </c>
      <c r="F41" s="58" t="n">
        <f aca="false">IF($B41&gt;Annahmen!$C$8,0,IF($B41=0,-(Annahmen!$C$49+Annahmen!$C$41)+Annahmen!$C$77,-Annahmen!$C$46*(1+Annahmen!$C$48)^INT(($B41-1)/Annahmen!$C$47)-Annahmen!$C$6/12/100*Annahmen!$C$36*Annahmen!$C$27*$D41-(Annahmen!$C$53+Annahmen!$C$54)/12+IF($B41=Annahmen!$C$19,Annahmen!$C$17,0)+IF(MOD($B41,12)=0,Annahmen!$C$20,0)-IF(MOD($B41,Annahmen!$C$47)=0,Annahmen!$C$52,0)-IF(AND(MOD($B41,Annahmen!$C$47)=0,$B41&lt;Annahmen!$C$8),Annahmen!$C$49*(1+Annahmen!$C$48)^($B41/Annahmen!$C$47),0)))</f>
        <v>-391.3824652</v>
      </c>
      <c r="G41" s="58" t="n">
        <f aca="false">IF($B41&gt;Annahmen!$C$8,0,IF($B41=0,-Annahmen!$C$57+Annahmen!$C$77,-Annahmen!$C$6/12/100*Annahmen!$C$58*Annahmen!$C$28*$D41-(Annahmen!$C$61+Annahmen!$C$62+Annahmen!$C$63)/12+IF($B41=Annahmen!$C$8,Annahmen!$C$60,0)))</f>
        <v>-243.5904</v>
      </c>
      <c r="H41" s="58" t="n">
        <f aca="false">IF($B41&gt;Annahmen!$C$8,0,IF($B41=0,-Annahmen!$C$66,IF($B41&lt;=Annahmen!$C$67*12,-Annahmen!$C$6/12/100*Annahmen!$C$72*$D41-(Annahmen!$C$73+Annahmen!$C$74+Annahmen!$C$75)/12+IF($B41=Annahmen!$C$67*12,Annahmen!$C$76-(Annahmen!$C$81+Annahmen!$C$41),0),-Annahmen!$C$6/12/100*Annahmen!$C$36*Annahmen!$C$27*$D41-(Annahmen!$C$39+Annahmen!$C$40+Annahmen!$C$42)/12+IF(MOD($B41,12)=0,Annahmen!$C$20,0)+IF($B41=Annahmen!$C$8,Annahmen!$C$82,0))+IF($B41=Annahmen!$C$67*12+Annahmen!$C$19,Annahmen!$C$17*Annahmen!$C$21,0)))</f>
        <v>-152.3824652</v>
      </c>
      <c r="I41" s="59" t="n">
        <f aca="false">IF($B41&gt;Annahmen!$C$8,0,IF($B41=0,-(Annahmen!$C$86+Annahmen!$C$41)+Annahmen!$C$77,-Annahmen!$C$6/12/100*Annahmen!$C$89*Annahmen!$C$27*$D41-(Annahmen!$C$92+Annahmen!$C$93+Annahmen!$C$94+Annahmen!$C$95)/12+IF(MOD($B41,12)=0,Annahmen!$C$20,0)+IF($B41=Annahmen!$C$8,Annahmen!$C$91,0)))</f>
        <v>-197.916298666667</v>
      </c>
    </row>
    <row r="42" customFormat="false" ht="15" hidden="false" customHeight="true" outlineLevel="0" collapsed="false">
      <c r="B42" s="53" t="n">
        <v>36</v>
      </c>
      <c r="C42" s="54" t="n">
        <f aca="false">1/(1+Annahmen!$C$10)^$B42</f>
        <v>0.915141659353157</v>
      </c>
      <c r="D42" s="54" t="n">
        <f aca="false">(1+Annahmen!$C$11)^INT(MAX($B42-1,0)/12)</f>
        <v>1.0404</v>
      </c>
      <c r="E42" s="55" t="n">
        <f aca="false">IF($B42&gt;Annahmen!$C$8,0,IF($B42=0,-(Annahmen!$C$33+Annahmen!$C$41)+Annahmen!$C$77,-Annahmen!$C$6/12/100*Annahmen!$C$36*Annahmen!$C$27*$D42-(Annahmen!$C$39+Annahmen!$C$40+Annahmen!$C$42)/12+IF($B42=Annahmen!$C$19,Annahmen!$C$17,0)+IF(MOD($B42,12)=0,Annahmen!$C$20,0)+IF($B42=Annahmen!$C$8,Annahmen!$C$38,0)))</f>
        <v>147.6175348</v>
      </c>
      <c r="F42" s="55" t="n">
        <f aca="false">IF($B42&gt;Annahmen!$C$8,0,IF($B42=0,-(Annahmen!$C$49+Annahmen!$C$41)+Annahmen!$C$77,-Annahmen!$C$46*(1+Annahmen!$C$48)^INT(($B42-1)/Annahmen!$C$47)-Annahmen!$C$6/12/100*Annahmen!$C$36*Annahmen!$C$27*$D42-(Annahmen!$C$53+Annahmen!$C$54)/12+IF($B42=Annahmen!$C$19,Annahmen!$C$17,0)+IF(MOD($B42,12)=0,Annahmen!$C$20,0)-IF(MOD($B42,Annahmen!$C$47)=0,Annahmen!$C$52,0)-IF(AND(MOD($B42,Annahmen!$C$47)=0,$B42&lt;Annahmen!$C$8),Annahmen!$C$49*(1+Annahmen!$C$48)^($B42/Annahmen!$C$47),0)))</f>
        <v>-811.3824652</v>
      </c>
      <c r="G42" s="55" t="n">
        <f aca="false">IF($B42&gt;Annahmen!$C$8,0,IF($B42=0,-Annahmen!$C$57+Annahmen!$C$77,-Annahmen!$C$6/12/100*Annahmen!$C$58*Annahmen!$C$28*$D42-(Annahmen!$C$61+Annahmen!$C$62+Annahmen!$C$63)/12+IF($B42=Annahmen!$C$8,Annahmen!$C$60,0)))</f>
        <v>-243.5904</v>
      </c>
      <c r="H42" s="55" t="n">
        <f aca="false">IF($B42&gt;Annahmen!$C$8,0,IF($B42=0,-Annahmen!$C$66,IF($B42&lt;=Annahmen!$C$67*12,-Annahmen!$C$6/12/100*Annahmen!$C$72*$D42-(Annahmen!$C$73+Annahmen!$C$74+Annahmen!$C$75)/12+IF($B42=Annahmen!$C$67*12,Annahmen!$C$76-(Annahmen!$C$81+Annahmen!$C$41),0),-Annahmen!$C$6/12/100*Annahmen!$C$36*Annahmen!$C$27*$D42-(Annahmen!$C$39+Annahmen!$C$40+Annahmen!$C$42)/12+IF(MOD($B42,12)=0,Annahmen!$C$20,0)+IF($B42=Annahmen!$C$8,Annahmen!$C$82,0))+IF($B42=Annahmen!$C$67*12+Annahmen!$C$19,Annahmen!$C$17*Annahmen!$C$21,0)))</f>
        <v>147.6175348</v>
      </c>
      <c r="I42" s="56" t="n">
        <f aca="false">IF($B42&gt;Annahmen!$C$8,0,IF($B42=0,-(Annahmen!$C$86+Annahmen!$C$41)+Annahmen!$C$77,-Annahmen!$C$6/12/100*Annahmen!$C$89*Annahmen!$C$27*$D42-(Annahmen!$C$92+Annahmen!$C$93+Annahmen!$C$94+Annahmen!$C$95)/12+IF(MOD($B42,12)=0,Annahmen!$C$20,0)+IF($B42=Annahmen!$C$8,Annahmen!$C$91,0)))</f>
        <v>102.083701333333</v>
      </c>
    </row>
    <row r="43" customFormat="false" ht="15" hidden="false" customHeight="true" outlineLevel="0" collapsed="false">
      <c r="B43" s="39" t="n">
        <v>37</v>
      </c>
      <c r="C43" s="57" t="n">
        <f aca="false">1/(1+Annahmen!$C$10)^$B43</f>
        <v>0.912890225783875</v>
      </c>
      <c r="D43" s="57" t="n">
        <f aca="false">(1+Annahmen!$C$11)^INT(MAX($B43-1,0)/12)</f>
        <v>1.061208</v>
      </c>
      <c r="E43" s="58" t="n">
        <f aca="false">IF($B43&gt;Annahmen!$C$8,0,IF($B43=0,-(Annahmen!$C$33+Annahmen!$C$41)+Annahmen!$C$77,-Annahmen!$C$6/12/100*Annahmen!$C$36*Annahmen!$C$27*$D43-(Annahmen!$C$39+Annahmen!$C$40+Annahmen!$C$42)/12+IF($B43=Annahmen!$C$19,Annahmen!$C$17,0)+IF(MOD($B43,12)=0,Annahmen!$C$20,0)+IF($B43=Annahmen!$C$8,Annahmen!$C$38,0)))</f>
        <v>-153.680114504</v>
      </c>
      <c r="F43" s="58" t="n">
        <f aca="false">IF($B43&gt;Annahmen!$C$8,0,IF($B43=0,-(Annahmen!$C$49+Annahmen!$C$41)+Annahmen!$C$77,-Annahmen!$C$46*(1+Annahmen!$C$48)^INT(($B43-1)/Annahmen!$C$47)-Annahmen!$C$6/12/100*Annahmen!$C$36*Annahmen!$C$27*$D43-(Annahmen!$C$53+Annahmen!$C$54)/12+IF($B43=Annahmen!$C$19,Annahmen!$C$17,0)+IF(MOD($B43,12)=0,Annahmen!$C$20,0)-IF(MOD($B43,Annahmen!$C$47)=0,Annahmen!$C$52,0)-IF(AND(MOD($B43,Annahmen!$C$47)=0,$B43&lt;Annahmen!$C$8),Annahmen!$C$49*(1+Annahmen!$C$48)^($B43/Annahmen!$C$47),0)))</f>
        <v>-404.630114504</v>
      </c>
      <c r="G43" s="58" t="n">
        <f aca="false">IF($B43&gt;Annahmen!$C$8,0,IF($B43=0,-Annahmen!$C$57+Annahmen!$C$77,-Annahmen!$C$6/12/100*Annahmen!$C$58*Annahmen!$C$28*$D43-(Annahmen!$C$61+Annahmen!$C$62+Annahmen!$C$63)/12+IF($B43=Annahmen!$C$8,Annahmen!$C$60,0)))</f>
        <v>-246.212208</v>
      </c>
      <c r="H43" s="58" t="n">
        <f aca="false">IF($B43&gt;Annahmen!$C$8,0,IF($B43=0,-Annahmen!$C$66,IF($B43&lt;=Annahmen!$C$67*12,-Annahmen!$C$6/12/100*Annahmen!$C$72*$D43-(Annahmen!$C$73+Annahmen!$C$74+Annahmen!$C$75)/12+IF($B43=Annahmen!$C$67*12,Annahmen!$C$76-(Annahmen!$C$81+Annahmen!$C$41),0),-Annahmen!$C$6/12/100*Annahmen!$C$36*Annahmen!$C$27*$D43-(Annahmen!$C$39+Annahmen!$C$40+Annahmen!$C$42)/12+IF(MOD($B43,12)=0,Annahmen!$C$20,0)+IF($B43=Annahmen!$C$8,Annahmen!$C$82,0))+IF($B43=Annahmen!$C$67*12+Annahmen!$C$19,Annahmen!$C$17*Annahmen!$C$21,0)))</f>
        <v>-153.680114504</v>
      </c>
      <c r="I43" s="59" t="n">
        <f aca="false">IF($B43&gt;Annahmen!$C$8,0,IF($B43=0,-(Annahmen!$C$86+Annahmen!$C$41)+Annahmen!$C$77,-Annahmen!$C$6/12/100*Annahmen!$C$89*Annahmen!$C$27*$D43-(Annahmen!$C$92+Annahmen!$C$93+Annahmen!$C$94+Annahmen!$C$95)/12+IF(MOD($B43,12)=0,Annahmen!$C$20,0)+IF($B43=Annahmen!$C$8,Annahmen!$C$91,0)))</f>
        <v>-199.291291306667</v>
      </c>
    </row>
    <row r="44" customFormat="false" ht="15" hidden="false" customHeight="true" outlineLevel="0" collapsed="false">
      <c r="B44" s="39" t="n">
        <v>38</v>
      </c>
      <c r="C44" s="57" t="n">
        <f aca="false">1/(1+Annahmen!$C$10)^$B44</f>
        <v>0.910644331196525</v>
      </c>
      <c r="D44" s="57" t="n">
        <f aca="false">(1+Annahmen!$C$11)^INT(MAX($B44-1,0)/12)</f>
        <v>1.061208</v>
      </c>
      <c r="E44" s="58" t="n">
        <f aca="false">IF($B44&gt;Annahmen!$C$8,0,IF($B44=0,-(Annahmen!$C$33+Annahmen!$C$41)+Annahmen!$C$77,-Annahmen!$C$6/12/100*Annahmen!$C$36*Annahmen!$C$27*$D44-(Annahmen!$C$39+Annahmen!$C$40+Annahmen!$C$42)/12+IF($B44=Annahmen!$C$19,Annahmen!$C$17,0)+IF(MOD($B44,12)=0,Annahmen!$C$20,0)+IF($B44=Annahmen!$C$8,Annahmen!$C$38,0)))</f>
        <v>-153.680114504</v>
      </c>
      <c r="F44" s="58" t="n">
        <f aca="false">IF($B44&gt;Annahmen!$C$8,0,IF($B44=0,-(Annahmen!$C$49+Annahmen!$C$41)+Annahmen!$C$77,-Annahmen!$C$46*(1+Annahmen!$C$48)^INT(($B44-1)/Annahmen!$C$47)-Annahmen!$C$6/12/100*Annahmen!$C$36*Annahmen!$C$27*$D44-(Annahmen!$C$53+Annahmen!$C$54)/12+IF($B44=Annahmen!$C$19,Annahmen!$C$17,0)+IF(MOD($B44,12)=0,Annahmen!$C$20,0)-IF(MOD($B44,Annahmen!$C$47)=0,Annahmen!$C$52,0)-IF(AND(MOD($B44,Annahmen!$C$47)=0,$B44&lt;Annahmen!$C$8),Annahmen!$C$49*(1+Annahmen!$C$48)^($B44/Annahmen!$C$47),0)))</f>
        <v>-404.630114504</v>
      </c>
      <c r="G44" s="58" t="n">
        <f aca="false">IF($B44&gt;Annahmen!$C$8,0,IF($B44=0,-Annahmen!$C$57+Annahmen!$C$77,-Annahmen!$C$6/12/100*Annahmen!$C$58*Annahmen!$C$28*$D44-(Annahmen!$C$61+Annahmen!$C$62+Annahmen!$C$63)/12+IF($B44=Annahmen!$C$8,Annahmen!$C$60,0)))</f>
        <v>-246.212208</v>
      </c>
      <c r="H44" s="58" t="n">
        <f aca="false">IF($B44&gt;Annahmen!$C$8,0,IF($B44=0,-Annahmen!$C$66,IF($B44&lt;=Annahmen!$C$67*12,-Annahmen!$C$6/12/100*Annahmen!$C$72*$D44-(Annahmen!$C$73+Annahmen!$C$74+Annahmen!$C$75)/12+IF($B44=Annahmen!$C$67*12,Annahmen!$C$76-(Annahmen!$C$81+Annahmen!$C$41),0),-Annahmen!$C$6/12/100*Annahmen!$C$36*Annahmen!$C$27*$D44-(Annahmen!$C$39+Annahmen!$C$40+Annahmen!$C$42)/12+IF(MOD($B44,12)=0,Annahmen!$C$20,0)+IF($B44=Annahmen!$C$8,Annahmen!$C$82,0))+IF($B44=Annahmen!$C$67*12+Annahmen!$C$19,Annahmen!$C$17*Annahmen!$C$21,0)))</f>
        <v>-153.680114504</v>
      </c>
      <c r="I44" s="59" t="n">
        <f aca="false">IF($B44&gt;Annahmen!$C$8,0,IF($B44=0,-(Annahmen!$C$86+Annahmen!$C$41)+Annahmen!$C$77,-Annahmen!$C$6/12/100*Annahmen!$C$89*Annahmen!$C$27*$D44-(Annahmen!$C$92+Annahmen!$C$93+Annahmen!$C$94+Annahmen!$C$95)/12+IF(MOD($B44,12)=0,Annahmen!$C$20,0)+IF($B44=Annahmen!$C$8,Annahmen!$C$91,0)))</f>
        <v>-199.291291306667</v>
      </c>
    </row>
    <row r="45" customFormat="false" ht="15" hidden="false" customHeight="true" outlineLevel="0" collapsed="false">
      <c r="B45" s="39" t="n">
        <v>39</v>
      </c>
      <c r="C45" s="57" t="n">
        <f aca="false">1/(1+Annahmen!$C$10)^$B45</f>
        <v>0.908403961964092</v>
      </c>
      <c r="D45" s="57" t="n">
        <f aca="false">(1+Annahmen!$C$11)^INT(MAX($B45-1,0)/12)</f>
        <v>1.061208</v>
      </c>
      <c r="E45" s="58" t="n">
        <f aca="false">IF($B45&gt;Annahmen!$C$8,0,IF($B45=0,-(Annahmen!$C$33+Annahmen!$C$41)+Annahmen!$C$77,-Annahmen!$C$6/12/100*Annahmen!$C$36*Annahmen!$C$27*$D45-(Annahmen!$C$39+Annahmen!$C$40+Annahmen!$C$42)/12+IF($B45=Annahmen!$C$19,Annahmen!$C$17,0)+IF(MOD($B45,12)=0,Annahmen!$C$20,0)+IF($B45=Annahmen!$C$8,Annahmen!$C$38,0)))</f>
        <v>-153.680114504</v>
      </c>
      <c r="F45" s="58" t="n">
        <f aca="false">IF($B45&gt;Annahmen!$C$8,0,IF($B45=0,-(Annahmen!$C$49+Annahmen!$C$41)+Annahmen!$C$77,-Annahmen!$C$46*(1+Annahmen!$C$48)^INT(($B45-1)/Annahmen!$C$47)-Annahmen!$C$6/12/100*Annahmen!$C$36*Annahmen!$C$27*$D45-(Annahmen!$C$53+Annahmen!$C$54)/12+IF($B45=Annahmen!$C$19,Annahmen!$C$17,0)+IF(MOD($B45,12)=0,Annahmen!$C$20,0)-IF(MOD($B45,Annahmen!$C$47)=0,Annahmen!$C$52,0)-IF(AND(MOD($B45,Annahmen!$C$47)=0,$B45&lt;Annahmen!$C$8),Annahmen!$C$49*(1+Annahmen!$C$48)^($B45/Annahmen!$C$47),0)))</f>
        <v>-404.630114504</v>
      </c>
      <c r="G45" s="58" t="n">
        <f aca="false">IF($B45&gt;Annahmen!$C$8,0,IF($B45=0,-Annahmen!$C$57+Annahmen!$C$77,-Annahmen!$C$6/12/100*Annahmen!$C$58*Annahmen!$C$28*$D45-(Annahmen!$C$61+Annahmen!$C$62+Annahmen!$C$63)/12+IF($B45=Annahmen!$C$8,Annahmen!$C$60,0)))</f>
        <v>-246.212208</v>
      </c>
      <c r="H45" s="58" t="n">
        <f aca="false">IF($B45&gt;Annahmen!$C$8,0,IF($B45=0,-Annahmen!$C$66,IF($B45&lt;=Annahmen!$C$67*12,-Annahmen!$C$6/12/100*Annahmen!$C$72*$D45-(Annahmen!$C$73+Annahmen!$C$74+Annahmen!$C$75)/12+IF($B45=Annahmen!$C$67*12,Annahmen!$C$76-(Annahmen!$C$81+Annahmen!$C$41),0),-Annahmen!$C$6/12/100*Annahmen!$C$36*Annahmen!$C$27*$D45-(Annahmen!$C$39+Annahmen!$C$40+Annahmen!$C$42)/12+IF(MOD($B45,12)=0,Annahmen!$C$20,0)+IF($B45=Annahmen!$C$8,Annahmen!$C$82,0))+IF($B45=Annahmen!$C$67*12+Annahmen!$C$19,Annahmen!$C$17*Annahmen!$C$21,0)))</f>
        <v>-153.680114504</v>
      </c>
      <c r="I45" s="59" t="n">
        <f aca="false">IF($B45&gt;Annahmen!$C$8,0,IF($B45=0,-(Annahmen!$C$86+Annahmen!$C$41)+Annahmen!$C$77,-Annahmen!$C$6/12/100*Annahmen!$C$89*Annahmen!$C$27*$D45-(Annahmen!$C$92+Annahmen!$C$93+Annahmen!$C$94+Annahmen!$C$95)/12+IF(MOD($B45,12)=0,Annahmen!$C$20,0)+IF($B45=Annahmen!$C$8,Annahmen!$C$91,0)))</f>
        <v>-199.291291306667</v>
      </c>
    </row>
    <row r="46" customFormat="false" ht="15" hidden="false" customHeight="true" outlineLevel="0" collapsed="false">
      <c r="B46" s="39" t="n">
        <v>40</v>
      </c>
      <c r="C46" s="57" t="n">
        <f aca="false">1/(1+Annahmen!$C$10)^$B46</f>
        <v>0.906169104493085</v>
      </c>
      <c r="D46" s="57" t="n">
        <f aca="false">(1+Annahmen!$C$11)^INT(MAX($B46-1,0)/12)</f>
        <v>1.061208</v>
      </c>
      <c r="E46" s="58" t="n">
        <f aca="false">IF($B46&gt;Annahmen!$C$8,0,IF($B46=0,-(Annahmen!$C$33+Annahmen!$C$41)+Annahmen!$C$77,-Annahmen!$C$6/12/100*Annahmen!$C$36*Annahmen!$C$27*$D46-(Annahmen!$C$39+Annahmen!$C$40+Annahmen!$C$42)/12+IF($B46=Annahmen!$C$19,Annahmen!$C$17,0)+IF(MOD($B46,12)=0,Annahmen!$C$20,0)+IF($B46=Annahmen!$C$8,Annahmen!$C$38,0)))</f>
        <v>-153.680114504</v>
      </c>
      <c r="F46" s="58" t="n">
        <f aca="false">IF($B46&gt;Annahmen!$C$8,0,IF($B46=0,-(Annahmen!$C$49+Annahmen!$C$41)+Annahmen!$C$77,-Annahmen!$C$46*(1+Annahmen!$C$48)^INT(($B46-1)/Annahmen!$C$47)-Annahmen!$C$6/12/100*Annahmen!$C$36*Annahmen!$C$27*$D46-(Annahmen!$C$53+Annahmen!$C$54)/12+IF($B46=Annahmen!$C$19,Annahmen!$C$17,0)+IF(MOD($B46,12)=0,Annahmen!$C$20,0)-IF(MOD($B46,Annahmen!$C$47)=0,Annahmen!$C$52,0)-IF(AND(MOD($B46,Annahmen!$C$47)=0,$B46&lt;Annahmen!$C$8),Annahmen!$C$49*(1+Annahmen!$C$48)^($B46/Annahmen!$C$47),0)))</f>
        <v>-404.630114504</v>
      </c>
      <c r="G46" s="58" t="n">
        <f aca="false">IF($B46&gt;Annahmen!$C$8,0,IF($B46=0,-Annahmen!$C$57+Annahmen!$C$77,-Annahmen!$C$6/12/100*Annahmen!$C$58*Annahmen!$C$28*$D46-(Annahmen!$C$61+Annahmen!$C$62+Annahmen!$C$63)/12+IF($B46=Annahmen!$C$8,Annahmen!$C$60,0)))</f>
        <v>-246.212208</v>
      </c>
      <c r="H46" s="58" t="n">
        <f aca="false">IF($B46&gt;Annahmen!$C$8,0,IF($B46=0,-Annahmen!$C$66,IF($B46&lt;=Annahmen!$C$67*12,-Annahmen!$C$6/12/100*Annahmen!$C$72*$D46-(Annahmen!$C$73+Annahmen!$C$74+Annahmen!$C$75)/12+IF($B46=Annahmen!$C$67*12,Annahmen!$C$76-(Annahmen!$C$81+Annahmen!$C$41),0),-Annahmen!$C$6/12/100*Annahmen!$C$36*Annahmen!$C$27*$D46-(Annahmen!$C$39+Annahmen!$C$40+Annahmen!$C$42)/12+IF(MOD($B46,12)=0,Annahmen!$C$20,0)+IF($B46=Annahmen!$C$8,Annahmen!$C$82,0))+IF($B46=Annahmen!$C$67*12+Annahmen!$C$19,Annahmen!$C$17*Annahmen!$C$21,0)))</f>
        <v>-153.680114504</v>
      </c>
      <c r="I46" s="59" t="n">
        <f aca="false">IF($B46&gt;Annahmen!$C$8,0,IF($B46=0,-(Annahmen!$C$86+Annahmen!$C$41)+Annahmen!$C$77,-Annahmen!$C$6/12/100*Annahmen!$C$89*Annahmen!$C$27*$D46-(Annahmen!$C$92+Annahmen!$C$93+Annahmen!$C$94+Annahmen!$C$95)/12+IF(MOD($B46,12)=0,Annahmen!$C$20,0)+IF($B46=Annahmen!$C$8,Annahmen!$C$91,0)))</f>
        <v>-199.291291306667</v>
      </c>
    </row>
    <row r="47" customFormat="false" ht="15" hidden="false" customHeight="true" outlineLevel="0" collapsed="false">
      <c r="B47" s="39" t="n">
        <v>41</v>
      </c>
      <c r="C47" s="57" t="n">
        <f aca="false">1/(1+Annahmen!$C$10)^$B47</f>
        <v>0.903939745223457</v>
      </c>
      <c r="D47" s="57" t="n">
        <f aca="false">(1+Annahmen!$C$11)^INT(MAX($B47-1,0)/12)</f>
        <v>1.061208</v>
      </c>
      <c r="E47" s="58" t="n">
        <f aca="false">IF($B47&gt;Annahmen!$C$8,0,IF($B47=0,-(Annahmen!$C$33+Annahmen!$C$41)+Annahmen!$C$77,-Annahmen!$C$6/12/100*Annahmen!$C$36*Annahmen!$C$27*$D47-(Annahmen!$C$39+Annahmen!$C$40+Annahmen!$C$42)/12+IF($B47=Annahmen!$C$19,Annahmen!$C$17,0)+IF(MOD($B47,12)=0,Annahmen!$C$20,0)+IF($B47=Annahmen!$C$8,Annahmen!$C$38,0)))</f>
        <v>-153.680114504</v>
      </c>
      <c r="F47" s="58" t="n">
        <f aca="false">IF($B47&gt;Annahmen!$C$8,0,IF($B47=0,-(Annahmen!$C$49+Annahmen!$C$41)+Annahmen!$C$77,-Annahmen!$C$46*(1+Annahmen!$C$48)^INT(($B47-1)/Annahmen!$C$47)-Annahmen!$C$6/12/100*Annahmen!$C$36*Annahmen!$C$27*$D47-(Annahmen!$C$53+Annahmen!$C$54)/12+IF($B47=Annahmen!$C$19,Annahmen!$C$17,0)+IF(MOD($B47,12)=0,Annahmen!$C$20,0)-IF(MOD($B47,Annahmen!$C$47)=0,Annahmen!$C$52,0)-IF(AND(MOD($B47,Annahmen!$C$47)=0,$B47&lt;Annahmen!$C$8),Annahmen!$C$49*(1+Annahmen!$C$48)^($B47/Annahmen!$C$47),0)))</f>
        <v>-404.630114504</v>
      </c>
      <c r="G47" s="58" t="n">
        <f aca="false">IF($B47&gt;Annahmen!$C$8,0,IF($B47=0,-Annahmen!$C$57+Annahmen!$C$77,-Annahmen!$C$6/12/100*Annahmen!$C$58*Annahmen!$C$28*$D47-(Annahmen!$C$61+Annahmen!$C$62+Annahmen!$C$63)/12+IF($B47=Annahmen!$C$8,Annahmen!$C$60,0)))</f>
        <v>-246.212208</v>
      </c>
      <c r="H47" s="58" t="n">
        <f aca="false">IF($B47&gt;Annahmen!$C$8,0,IF($B47=0,-Annahmen!$C$66,IF($B47&lt;=Annahmen!$C$67*12,-Annahmen!$C$6/12/100*Annahmen!$C$72*$D47-(Annahmen!$C$73+Annahmen!$C$74+Annahmen!$C$75)/12+IF($B47=Annahmen!$C$67*12,Annahmen!$C$76-(Annahmen!$C$81+Annahmen!$C$41),0),-Annahmen!$C$6/12/100*Annahmen!$C$36*Annahmen!$C$27*$D47-(Annahmen!$C$39+Annahmen!$C$40+Annahmen!$C$42)/12+IF(MOD($B47,12)=0,Annahmen!$C$20,0)+IF($B47=Annahmen!$C$8,Annahmen!$C$82,0))+IF($B47=Annahmen!$C$67*12+Annahmen!$C$19,Annahmen!$C$17*Annahmen!$C$21,0)))</f>
        <v>-153.680114504</v>
      </c>
      <c r="I47" s="59" t="n">
        <f aca="false">IF($B47&gt;Annahmen!$C$8,0,IF($B47=0,-(Annahmen!$C$86+Annahmen!$C$41)+Annahmen!$C$77,-Annahmen!$C$6/12/100*Annahmen!$C$89*Annahmen!$C$27*$D47-(Annahmen!$C$92+Annahmen!$C$93+Annahmen!$C$94+Annahmen!$C$95)/12+IF(MOD($B47,12)=0,Annahmen!$C$20,0)+IF($B47=Annahmen!$C$8,Annahmen!$C$91,0)))</f>
        <v>-199.291291306667</v>
      </c>
    </row>
    <row r="48" customFormat="false" ht="15" hidden="false" customHeight="true" outlineLevel="0" collapsed="false">
      <c r="B48" s="39" t="n">
        <v>42</v>
      </c>
      <c r="C48" s="57" t="n">
        <f aca="false">1/(1+Annahmen!$C$10)^$B48</f>
        <v>0.901715870628519</v>
      </c>
      <c r="D48" s="57" t="n">
        <f aca="false">(1+Annahmen!$C$11)^INT(MAX($B48-1,0)/12)</f>
        <v>1.061208</v>
      </c>
      <c r="E48" s="58" t="n">
        <f aca="false">IF($B48&gt;Annahmen!$C$8,0,IF($B48=0,-(Annahmen!$C$33+Annahmen!$C$41)+Annahmen!$C$77,-Annahmen!$C$6/12/100*Annahmen!$C$36*Annahmen!$C$27*$D48-(Annahmen!$C$39+Annahmen!$C$40+Annahmen!$C$42)/12+IF($B48=Annahmen!$C$19,Annahmen!$C$17,0)+IF(MOD($B48,12)=0,Annahmen!$C$20,0)+IF($B48=Annahmen!$C$8,Annahmen!$C$38,0)))</f>
        <v>-153.680114504</v>
      </c>
      <c r="F48" s="58" t="n">
        <f aca="false">IF($B48&gt;Annahmen!$C$8,0,IF($B48=0,-(Annahmen!$C$49+Annahmen!$C$41)+Annahmen!$C$77,-Annahmen!$C$46*(1+Annahmen!$C$48)^INT(($B48-1)/Annahmen!$C$47)-Annahmen!$C$6/12/100*Annahmen!$C$36*Annahmen!$C$27*$D48-(Annahmen!$C$53+Annahmen!$C$54)/12+IF($B48=Annahmen!$C$19,Annahmen!$C$17,0)+IF(MOD($B48,12)=0,Annahmen!$C$20,0)-IF(MOD($B48,Annahmen!$C$47)=0,Annahmen!$C$52,0)-IF(AND(MOD($B48,Annahmen!$C$47)=0,$B48&lt;Annahmen!$C$8),Annahmen!$C$49*(1+Annahmen!$C$48)^($B48/Annahmen!$C$47),0)))</f>
        <v>-404.630114504</v>
      </c>
      <c r="G48" s="58" t="n">
        <f aca="false">IF($B48&gt;Annahmen!$C$8,0,IF($B48=0,-Annahmen!$C$57+Annahmen!$C$77,-Annahmen!$C$6/12/100*Annahmen!$C$58*Annahmen!$C$28*$D48-(Annahmen!$C$61+Annahmen!$C$62+Annahmen!$C$63)/12+IF($B48=Annahmen!$C$8,Annahmen!$C$60,0)))</f>
        <v>-246.212208</v>
      </c>
      <c r="H48" s="58" t="n">
        <f aca="false">IF($B48&gt;Annahmen!$C$8,0,IF($B48=0,-Annahmen!$C$66,IF($B48&lt;=Annahmen!$C$67*12,-Annahmen!$C$6/12/100*Annahmen!$C$72*$D48-(Annahmen!$C$73+Annahmen!$C$74+Annahmen!$C$75)/12+IF($B48=Annahmen!$C$67*12,Annahmen!$C$76-(Annahmen!$C$81+Annahmen!$C$41),0),-Annahmen!$C$6/12/100*Annahmen!$C$36*Annahmen!$C$27*$D48-(Annahmen!$C$39+Annahmen!$C$40+Annahmen!$C$42)/12+IF(MOD($B48,12)=0,Annahmen!$C$20,0)+IF($B48=Annahmen!$C$8,Annahmen!$C$82,0))+IF($B48=Annahmen!$C$67*12+Annahmen!$C$19,Annahmen!$C$17*Annahmen!$C$21,0)))</f>
        <v>-153.680114504</v>
      </c>
      <c r="I48" s="59" t="n">
        <f aca="false">IF($B48&gt;Annahmen!$C$8,0,IF($B48=0,-(Annahmen!$C$86+Annahmen!$C$41)+Annahmen!$C$77,-Annahmen!$C$6/12/100*Annahmen!$C$89*Annahmen!$C$27*$D48-(Annahmen!$C$92+Annahmen!$C$93+Annahmen!$C$94+Annahmen!$C$95)/12+IF(MOD($B48,12)=0,Annahmen!$C$20,0)+IF($B48=Annahmen!$C$8,Annahmen!$C$91,0)))</f>
        <v>-199.291291306667</v>
      </c>
    </row>
    <row r="49" customFormat="false" ht="15" hidden="false" customHeight="true" outlineLevel="0" collapsed="false">
      <c r="B49" s="39" t="n">
        <v>43</v>
      </c>
      <c r="C49" s="57" t="n">
        <f aca="false">1/(1+Annahmen!$C$10)^$B49</f>
        <v>0.899497467214863</v>
      </c>
      <c r="D49" s="57" t="n">
        <f aca="false">(1+Annahmen!$C$11)^INT(MAX($B49-1,0)/12)</f>
        <v>1.061208</v>
      </c>
      <c r="E49" s="58" t="n">
        <f aca="false">IF($B49&gt;Annahmen!$C$8,0,IF($B49=0,-(Annahmen!$C$33+Annahmen!$C$41)+Annahmen!$C$77,-Annahmen!$C$6/12/100*Annahmen!$C$36*Annahmen!$C$27*$D49-(Annahmen!$C$39+Annahmen!$C$40+Annahmen!$C$42)/12+IF($B49=Annahmen!$C$19,Annahmen!$C$17,0)+IF(MOD($B49,12)=0,Annahmen!$C$20,0)+IF($B49=Annahmen!$C$8,Annahmen!$C$38,0)))</f>
        <v>-153.680114504</v>
      </c>
      <c r="F49" s="58" t="n">
        <f aca="false">IF($B49&gt;Annahmen!$C$8,0,IF($B49=0,-(Annahmen!$C$49+Annahmen!$C$41)+Annahmen!$C$77,-Annahmen!$C$46*(1+Annahmen!$C$48)^INT(($B49-1)/Annahmen!$C$47)-Annahmen!$C$6/12/100*Annahmen!$C$36*Annahmen!$C$27*$D49-(Annahmen!$C$53+Annahmen!$C$54)/12+IF($B49=Annahmen!$C$19,Annahmen!$C$17,0)+IF(MOD($B49,12)=0,Annahmen!$C$20,0)-IF(MOD($B49,Annahmen!$C$47)=0,Annahmen!$C$52,0)-IF(AND(MOD($B49,Annahmen!$C$47)=0,$B49&lt;Annahmen!$C$8),Annahmen!$C$49*(1+Annahmen!$C$48)^($B49/Annahmen!$C$47),0)))</f>
        <v>-404.630114504</v>
      </c>
      <c r="G49" s="58" t="n">
        <f aca="false">IF($B49&gt;Annahmen!$C$8,0,IF($B49=0,-Annahmen!$C$57+Annahmen!$C$77,-Annahmen!$C$6/12/100*Annahmen!$C$58*Annahmen!$C$28*$D49-(Annahmen!$C$61+Annahmen!$C$62+Annahmen!$C$63)/12+IF($B49=Annahmen!$C$8,Annahmen!$C$60,0)))</f>
        <v>-246.212208</v>
      </c>
      <c r="H49" s="58" t="n">
        <f aca="false">IF($B49&gt;Annahmen!$C$8,0,IF($B49=0,-Annahmen!$C$66,IF($B49&lt;=Annahmen!$C$67*12,-Annahmen!$C$6/12/100*Annahmen!$C$72*$D49-(Annahmen!$C$73+Annahmen!$C$74+Annahmen!$C$75)/12+IF($B49=Annahmen!$C$67*12,Annahmen!$C$76-(Annahmen!$C$81+Annahmen!$C$41),0),-Annahmen!$C$6/12/100*Annahmen!$C$36*Annahmen!$C$27*$D49-(Annahmen!$C$39+Annahmen!$C$40+Annahmen!$C$42)/12+IF(MOD($B49,12)=0,Annahmen!$C$20,0)+IF($B49=Annahmen!$C$8,Annahmen!$C$82,0))+IF($B49=Annahmen!$C$67*12+Annahmen!$C$19,Annahmen!$C$17*Annahmen!$C$21,0)))</f>
        <v>-153.680114504</v>
      </c>
      <c r="I49" s="59" t="n">
        <f aca="false">IF($B49&gt;Annahmen!$C$8,0,IF($B49=0,-(Annahmen!$C$86+Annahmen!$C$41)+Annahmen!$C$77,-Annahmen!$C$6/12/100*Annahmen!$C$89*Annahmen!$C$27*$D49-(Annahmen!$C$92+Annahmen!$C$93+Annahmen!$C$94+Annahmen!$C$95)/12+IF(MOD($B49,12)=0,Annahmen!$C$20,0)+IF($B49=Annahmen!$C$8,Annahmen!$C$91,0)))</f>
        <v>-199.291291306667</v>
      </c>
    </row>
    <row r="50" customFormat="false" ht="15" hidden="false" customHeight="true" outlineLevel="0" collapsed="false">
      <c r="B50" s="39" t="n">
        <v>44</v>
      </c>
      <c r="C50" s="57" t="n">
        <f aca="false">1/(1+Annahmen!$C$10)^$B50</f>
        <v>0.897284521522277</v>
      </c>
      <c r="D50" s="57" t="n">
        <f aca="false">(1+Annahmen!$C$11)^INT(MAX($B50-1,0)/12)</f>
        <v>1.061208</v>
      </c>
      <c r="E50" s="58" t="n">
        <f aca="false">IF($B50&gt;Annahmen!$C$8,0,IF($B50=0,-(Annahmen!$C$33+Annahmen!$C$41)+Annahmen!$C$77,-Annahmen!$C$6/12/100*Annahmen!$C$36*Annahmen!$C$27*$D50-(Annahmen!$C$39+Annahmen!$C$40+Annahmen!$C$42)/12+IF($B50=Annahmen!$C$19,Annahmen!$C$17,0)+IF(MOD($B50,12)=0,Annahmen!$C$20,0)+IF($B50=Annahmen!$C$8,Annahmen!$C$38,0)))</f>
        <v>-153.680114504</v>
      </c>
      <c r="F50" s="58" t="n">
        <f aca="false">IF($B50&gt;Annahmen!$C$8,0,IF($B50=0,-(Annahmen!$C$49+Annahmen!$C$41)+Annahmen!$C$77,-Annahmen!$C$46*(1+Annahmen!$C$48)^INT(($B50-1)/Annahmen!$C$47)-Annahmen!$C$6/12/100*Annahmen!$C$36*Annahmen!$C$27*$D50-(Annahmen!$C$53+Annahmen!$C$54)/12+IF($B50=Annahmen!$C$19,Annahmen!$C$17,0)+IF(MOD($B50,12)=0,Annahmen!$C$20,0)-IF(MOD($B50,Annahmen!$C$47)=0,Annahmen!$C$52,0)-IF(AND(MOD($B50,Annahmen!$C$47)=0,$B50&lt;Annahmen!$C$8),Annahmen!$C$49*(1+Annahmen!$C$48)^($B50/Annahmen!$C$47),0)))</f>
        <v>-404.630114504</v>
      </c>
      <c r="G50" s="58" t="n">
        <f aca="false">IF($B50&gt;Annahmen!$C$8,0,IF($B50=0,-Annahmen!$C$57+Annahmen!$C$77,-Annahmen!$C$6/12/100*Annahmen!$C$58*Annahmen!$C$28*$D50-(Annahmen!$C$61+Annahmen!$C$62+Annahmen!$C$63)/12+IF($B50=Annahmen!$C$8,Annahmen!$C$60,0)))</f>
        <v>-246.212208</v>
      </c>
      <c r="H50" s="58" t="n">
        <f aca="false">IF($B50&gt;Annahmen!$C$8,0,IF($B50=0,-Annahmen!$C$66,IF($B50&lt;=Annahmen!$C$67*12,-Annahmen!$C$6/12/100*Annahmen!$C$72*$D50-(Annahmen!$C$73+Annahmen!$C$74+Annahmen!$C$75)/12+IF($B50=Annahmen!$C$67*12,Annahmen!$C$76-(Annahmen!$C$81+Annahmen!$C$41),0),-Annahmen!$C$6/12/100*Annahmen!$C$36*Annahmen!$C$27*$D50-(Annahmen!$C$39+Annahmen!$C$40+Annahmen!$C$42)/12+IF(MOD($B50,12)=0,Annahmen!$C$20,0)+IF($B50=Annahmen!$C$8,Annahmen!$C$82,0))+IF($B50=Annahmen!$C$67*12+Annahmen!$C$19,Annahmen!$C$17*Annahmen!$C$21,0)))</f>
        <v>-153.680114504</v>
      </c>
      <c r="I50" s="59" t="n">
        <f aca="false">IF($B50&gt;Annahmen!$C$8,0,IF($B50=0,-(Annahmen!$C$86+Annahmen!$C$41)+Annahmen!$C$77,-Annahmen!$C$6/12/100*Annahmen!$C$89*Annahmen!$C$27*$D50-(Annahmen!$C$92+Annahmen!$C$93+Annahmen!$C$94+Annahmen!$C$95)/12+IF(MOD($B50,12)=0,Annahmen!$C$20,0)+IF($B50=Annahmen!$C$8,Annahmen!$C$91,0)))</f>
        <v>-199.291291306667</v>
      </c>
    </row>
    <row r="51" customFormat="false" ht="15" hidden="false" customHeight="true" outlineLevel="0" collapsed="false">
      <c r="B51" s="39" t="n">
        <v>45</v>
      </c>
      <c r="C51" s="57" t="n">
        <f aca="false">1/(1+Annahmen!$C$10)^$B51</f>
        <v>0.895077020123662</v>
      </c>
      <c r="D51" s="57" t="n">
        <f aca="false">(1+Annahmen!$C$11)^INT(MAX($B51-1,0)/12)</f>
        <v>1.061208</v>
      </c>
      <c r="E51" s="58" t="n">
        <f aca="false">IF($B51&gt;Annahmen!$C$8,0,IF($B51=0,-(Annahmen!$C$33+Annahmen!$C$41)+Annahmen!$C$77,-Annahmen!$C$6/12/100*Annahmen!$C$36*Annahmen!$C$27*$D51-(Annahmen!$C$39+Annahmen!$C$40+Annahmen!$C$42)/12+IF($B51=Annahmen!$C$19,Annahmen!$C$17,0)+IF(MOD($B51,12)=0,Annahmen!$C$20,0)+IF($B51=Annahmen!$C$8,Annahmen!$C$38,0)))</f>
        <v>-153.680114504</v>
      </c>
      <c r="F51" s="58" t="n">
        <f aca="false">IF($B51&gt;Annahmen!$C$8,0,IF($B51=0,-(Annahmen!$C$49+Annahmen!$C$41)+Annahmen!$C$77,-Annahmen!$C$46*(1+Annahmen!$C$48)^INT(($B51-1)/Annahmen!$C$47)-Annahmen!$C$6/12/100*Annahmen!$C$36*Annahmen!$C$27*$D51-(Annahmen!$C$53+Annahmen!$C$54)/12+IF($B51=Annahmen!$C$19,Annahmen!$C$17,0)+IF(MOD($B51,12)=0,Annahmen!$C$20,0)-IF(MOD($B51,Annahmen!$C$47)=0,Annahmen!$C$52,0)-IF(AND(MOD($B51,Annahmen!$C$47)=0,$B51&lt;Annahmen!$C$8),Annahmen!$C$49*(1+Annahmen!$C$48)^($B51/Annahmen!$C$47),0)))</f>
        <v>-404.630114504</v>
      </c>
      <c r="G51" s="58" t="n">
        <f aca="false">IF($B51&gt;Annahmen!$C$8,0,IF($B51=0,-Annahmen!$C$57+Annahmen!$C$77,-Annahmen!$C$6/12/100*Annahmen!$C$58*Annahmen!$C$28*$D51-(Annahmen!$C$61+Annahmen!$C$62+Annahmen!$C$63)/12+IF($B51=Annahmen!$C$8,Annahmen!$C$60,0)))</f>
        <v>-246.212208</v>
      </c>
      <c r="H51" s="58" t="n">
        <f aca="false">IF($B51&gt;Annahmen!$C$8,0,IF($B51=0,-Annahmen!$C$66,IF($B51&lt;=Annahmen!$C$67*12,-Annahmen!$C$6/12/100*Annahmen!$C$72*$D51-(Annahmen!$C$73+Annahmen!$C$74+Annahmen!$C$75)/12+IF($B51=Annahmen!$C$67*12,Annahmen!$C$76-(Annahmen!$C$81+Annahmen!$C$41),0),-Annahmen!$C$6/12/100*Annahmen!$C$36*Annahmen!$C$27*$D51-(Annahmen!$C$39+Annahmen!$C$40+Annahmen!$C$42)/12+IF(MOD($B51,12)=0,Annahmen!$C$20,0)+IF($B51=Annahmen!$C$8,Annahmen!$C$82,0))+IF($B51=Annahmen!$C$67*12+Annahmen!$C$19,Annahmen!$C$17*Annahmen!$C$21,0)))</f>
        <v>-153.680114504</v>
      </c>
      <c r="I51" s="59" t="n">
        <f aca="false">IF($B51&gt;Annahmen!$C$8,0,IF($B51=0,-(Annahmen!$C$86+Annahmen!$C$41)+Annahmen!$C$77,-Annahmen!$C$6/12/100*Annahmen!$C$89*Annahmen!$C$27*$D51-(Annahmen!$C$92+Annahmen!$C$93+Annahmen!$C$94+Annahmen!$C$95)/12+IF(MOD($B51,12)=0,Annahmen!$C$20,0)+IF($B51=Annahmen!$C$8,Annahmen!$C$91,0)))</f>
        <v>-199.291291306667</v>
      </c>
    </row>
    <row r="52" customFormat="false" ht="15" hidden="false" customHeight="true" outlineLevel="0" collapsed="false">
      <c r="B52" s="39" t="n">
        <v>46</v>
      </c>
      <c r="C52" s="57" t="n">
        <f aca="false">1/(1+Annahmen!$C$10)^$B52</f>
        <v>0.892874949624955</v>
      </c>
      <c r="D52" s="57" t="n">
        <f aca="false">(1+Annahmen!$C$11)^INT(MAX($B52-1,0)/12)</f>
        <v>1.061208</v>
      </c>
      <c r="E52" s="58" t="n">
        <f aca="false">IF($B52&gt;Annahmen!$C$8,0,IF($B52=0,-(Annahmen!$C$33+Annahmen!$C$41)+Annahmen!$C$77,-Annahmen!$C$6/12/100*Annahmen!$C$36*Annahmen!$C$27*$D52-(Annahmen!$C$39+Annahmen!$C$40+Annahmen!$C$42)/12+IF($B52=Annahmen!$C$19,Annahmen!$C$17,0)+IF(MOD($B52,12)=0,Annahmen!$C$20,0)+IF($B52=Annahmen!$C$8,Annahmen!$C$38,0)))</f>
        <v>-153.680114504</v>
      </c>
      <c r="F52" s="58" t="n">
        <f aca="false">IF($B52&gt;Annahmen!$C$8,0,IF($B52=0,-(Annahmen!$C$49+Annahmen!$C$41)+Annahmen!$C$77,-Annahmen!$C$46*(1+Annahmen!$C$48)^INT(($B52-1)/Annahmen!$C$47)-Annahmen!$C$6/12/100*Annahmen!$C$36*Annahmen!$C$27*$D52-(Annahmen!$C$53+Annahmen!$C$54)/12+IF($B52=Annahmen!$C$19,Annahmen!$C$17,0)+IF(MOD($B52,12)=0,Annahmen!$C$20,0)-IF(MOD($B52,Annahmen!$C$47)=0,Annahmen!$C$52,0)-IF(AND(MOD($B52,Annahmen!$C$47)=0,$B52&lt;Annahmen!$C$8),Annahmen!$C$49*(1+Annahmen!$C$48)^($B52/Annahmen!$C$47),0)))</f>
        <v>-404.630114504</v>
      </c>
      <c r="G52" s="58" t="n">
        <f aca="false">IF($B52&gt;Annahmen!$C$8,0,IF($B52=0,-Annahmen!$C$57+Annahmen!$C$77,-Annahmen!$C$6/12/100*Annahmen!$C$58*Annahmen!$C$28*$D52-(Annahmen!$C$61+Annahmen!$C$62+Annahmen!$C$63)/12+IF($B52=Annahmen!$C$8,Annahmen!$C$60,0)))</f>
        <v>-246.212208</v>
      </c>
      <c r="H52" s="58" t="n">
        <f aca="false">IF($B52&gt;Annahmen!$C$8,0,IF($B52=0,-Annahmen!$C$66,IF($B52&lt;=Annahmen!$C$67*12,-Annahmen!$C$6/12/100*Annahmen!$C$72*$D52-(Annahmen!$C$73+Annahmen!$C$74+Annahmen!$C$75)/12+IF($B52=Annahmen!$C$67*12,Annahmen!$C$76-(Annahmen!$C$81+Annahmen!$C$41),0),-Annahmen!$C$6/12/100*Annahmen!$C$36*Annahmen!$C$27*$D52-(Annahmen!$C$39+Annahmen!$C$40+Annahmen!$C$42)/12+IF(MOD($B52,12)=0,Annahmen!$C$20,0)+IF($B52=Annahmen!$C$8,Annahmen!$C$82,0))+IF($B52=Annahmen!$C$67*12+Annahmen!$C$19,Annahmen!$C$17*Annahmen!$C$21,0)))</f>
        <v>-153.680114504</v>
      </c>
      <c r="I52" s="59" t="n">
        <f aca="false">IF($B52&gt;Annahmen!$C$8,0,IF($B52=0,-(Annahmen!$C$86+Annahmen!$C$41)+Annahmen!$C$77,-Annahmen!$C$6/12/100*Annahmen!$C$89*Annahmen!$C$27*$D52-(Annahmen!$C$92+Annahmen!$C$93+Annahmen!$C$94+Annahmen!$C$95)/12+IF(MOD($B52,12)=0,Annahmen!$C$20,0)+IF($B52=Annahmen!$C$8,Annahmen!$C$91,0)))</f>
        <v>-199.291291306667</v>
      </c>
    </row>
    <row r="53" customFormat="false" ht="15" hidden="false" customHeight="true" outlineLevel="0" collapsed="false">
      <c r="B53" s="39" t="n">
        <v>47</v>
      </c>
      <c r="C53" s="57" t="n">
        <f aca="false">1/(1+Annahmen!$C$10)^$B53</f>
        <v>0.890678296665043</v>
      </c>
      <c r="D53" s="57" t="n">
        <f aca="false">(1+Annahmen!$C$11)^INT(MAX($B53-1,0)/12)</f>
        <v>1.061208</v>
      </c>
      <c r="E53" s="58" t="n">
        <f aca="false">IF($B53&gt;Annahmen!$C$8,0,IF($B53=0,-(Annahmen!$C$33+Annahmen!$C$41)+Annahmen!$C$77,-Annahmen!$C$6/12/100*Annahmen!$C$36*Annahmen!$C$27*$D53-(Annahmen!$C$39+Annahmen!$C$40+Annahmen!$C$42)/12+IF($B53=Annahmen!$C$19,Annahmen!$C$17,0)+IF(MOD($B53,12)=0,Annahmen!$C$20,0)+IF($B53=Annahmen!$C$8,Annahmen!$C$38,0)))</f>
        <v>-153.680114504</v>
      </c>
      <c r="F53" s="58" t="n">
        <f aca="false">IF($B53&gt;Annahmen!$C$8,0,IF($B53=0,-(Annahmen!$C$49+Annahmen!$C$41)+Annahmen!$C$77,-Annahmen!$C$46*(1+Annahmen!$C$48)^INT(($B53-1)/Annahmen!$C$47)-Annahmen!$C$6/12/100*Annahmen!$C$36*Annahmen!$C$27*$D53-(Annahmen!$C$53+Annahmen!$C$54)/12+IF($B53=Annahmen!$C$19,Annahmen!$C$17,0)+IF(MOD($B53,12)=0,Annahmen!$C$20,0)-IF(MOD($B53,Annahmen!$C$47)=0,Annahmen!$C$52,0)-IF(AND(MOD($B53,Annahmen!$C$47)=0,$B53&lt;Annahmen!$C$8),Annahmen!$C$49*(1+Annahmen!$C$48)^($B53/Annahmen!$C$47),0)))</f>
        <v>-404.630114504</v>
      </c>
      <c r="G53" s="58" t="n">
        <f aca="false">IF($B53&gt;Annahmen!$C$8,0,IF($B53=0,-Annahmen!$C$57+Annahmen!$C$77,-Annahmen!$C$6/12/100*Annahmen!$C$58*Annahmen!$C$28*$D53-(Annahmen!$C$61+Annahmen!$C$62+Annahmen!$C$63)/12+IF($B53=Annahmen!$C$8,Annahmen!$C$60,0)))</f>
        <v>-246.212208</v>
      </c>
      <c r="H53" s="58" t="n">
        <f aca="false">IF($B53&gt;Annahmen!$C$8,0,IF($B53=0,-Annahmen!$C$66,IF($B53&lt;=Annahmen!$C$67*12,-Annahmen!$C$6/12/100*Annahmen!$C$72*$D53-(Annahmen!$C$73+Annahmen!$C$74+Annahmen!$C$75)/12+IF($B53=Annahmen!$C$67*12,Annahmen!$C$76-(Annahmen!$C$81+Annahmen!$C$41),0),-Annahmen!$C$6/12/100*Annahmen!$C$36*Annahmen!$C$27*$D53-(Annahmen!$C$39+Annahmen!$C$40+Annahmen!$C$42)/12+IF(MOD($B53,12)=0,Annahmen!$C$20,0)+IF($B53=Annahmen!$C$8,Annahmen!$C$82,0))+IF($B53=Annahmen!$C$67*12+Annahmen!$C$19,Annahmen!$C$17*Annahmen!$C$21,0)))</f>
        <v>-153.680114504</v>
      </c>
      <c r="I53" s="59" t="n">
        <f aca="false">IF($B53&gt;Annahmen!$C$8,0,IF($B53=0,-(Annahmen!$C$86+Annahmen!$C$41)+Annahmen!$C$77,-Annahmen!$C$6/12/100*Annahmen!$C$89*Annahmen!$C$27*$D53-(Annahmen!$C$92+Annahmen!$C$93+Annahmen!$C$94+Annahmen!$C$95)/12+IF(MOD($B53,12)=0,Annahmen!$C$20,0)+IF($B53=Annahmen!$C$8,Annahmen!$C$91,0)))</f>
        <v>-199.291291306667</v>
      </c>
    </row>
    <row r="54" customFormat="false" ht="15" hidden="false" customHeight="true" outlineLevel="0" collapsed="false">
      <c r="B54" s="53" t="n">
        <v>48</v>
      </c>
      <c r="C54" s="54" t="n">
        <f aca="false">1/(1+Annahmen!$C$10)^$B54</f>
        <v>0.888487047915685</v>
      </c>
      <c r="D54" s="54" t="n">
        <f aca="false">(1+Annahmen!$C$11)^INT(MAX($B54-1,0)/12)</f>
        <v>1.061208</v>
      </c>
      <c r="E54" s="55" t="n">
        <f aca="false">IF($B54&gt;Annahmen!$C$8,0,IF($B54=0,-(Annahmen!$C$33+Annahmen!$C$41)+Annahmen!$C$77,-Annahmen!$C$6/12/100*Annahmen!$C$36*Annahmen!$C$27*$D54-(Annahmen!$C$39+Annahmen!$C$40+Annahmen!$C$42)/12+IF($B54=Annahmen!$C$19,Annahmen!$C$17,0)+IF(MOD($B54,12)=0,Annahmen!$C$20,0)+IF($B54=Annahmen!$C$8,Annahmen!$C$38,0)))</f>
        <v>146.319885496</v>
      </c>
      <c r="F54" s="55" t="n">
        <f aca="false">IF($B54&gt;Annahmen!$C$8,0,IF($B54=0,-(Annahmen!$C$49+Annahmen!$C$41)+Annahmen!$C$77,-Annahmen!$C$46*(1+Annahmen!$C$48)^INT(($B54-1)/Annahmen!$C$47)-Annahmen!$C$6/12/100*Annahmen!$C$36*Annahmen!$C$27*$D54-(Annahmen!$C$53+Annahmen!$C$54)/12+IF($B54=Annahmen!$C$19,Annahmen!$C$17,0)+IF(MOD($B54,12)=0,Annahmen!$C$20,0)-IF(MOD($B54,Annahmen!$C$47)=0,Annahmen!$C$52,0)-IF(AND(MOD($B54,Annahmen!$C$47)=0,$B54&lt;Annahmen!$C$8),Annahmen!$C$49*(1+Annahmen!$C$48)^($B54/Annahmen!$C$47),0)))</f>
        <v>-104.630114504</v>
      </c>
      <c r="G54" s="55" t="n">
        <f aca="false">IF($B54&gt;Annahmen!$C$8,0,IF($B54=0,-Annahmen!$C$57+Annahmen!$C$77,-Annahmen!$C$6/12/100*Annahmen!$C$58*Annahmen!$C$28*$D54-(Annahmen!$C$61+Annahmen!$C$62+Annahmen!$C$63)/12+IF($B54=Annahmen!$C$8,Annahmen!$C$60,0)))</f>
        <v>-246.212208</v>
      </c>
      <c r="H54" s="55" t="n">
        <f aca="false">IF($B54&gt;Annahmen!$C$8,0,IF($B54=0,-Annahmen!$C$66,IF($B54&lt;=Annahmen!$C$67*12,-Annahmen!$C$6/12/100*Annahmen!$C$72*$D54-(Annahmen!$C$73+Annahmen!$C$74+Annahmen!$C$75)/12+IF($B54=Annahmen!$C$67*12,Annahmen!$C$76-(Annahmen!$C$81+Annahmen!$C$41),0),-Annahmen!$C$6/12/100*Annahmen!$C$36*Annahmen!$C$27*$D54-(Annahmen!$C$39+Annahmen!$C$40+Annahmen!$C$42)/12+IF(MOD($B54,12)=0,Annahmen!$C$20,0)+IF($B54=Annahmen!$C$8,Annahmen!$C$82,0))+IF($B54=Annahmen!$C$67*12+Annahmen!$C$19,Annahmen!$C$17*Annahmen!$C$21,0)))</f>
        <v>146.319885496</v>
      </c>
      <c r="I54" s="56" t="n">
        <f aca="false">IF($B54&gt;Annahmen!$C$8,0,IF($B54=0,-(Annahmen!$C$86+Annahmen!$C$41)+Annahmen!$C$77,-Annahmen!$C$6/12/100*Annahmen!$C$89*Annahmen!$C$27*$D54-(Annahmen!$C$92+Annahmen!$C$93+Annahmen!$C$94+Annahmen!$C$95)/12+IF(MOD($B54,12)=0,Annahmen!$C$20,0)+IF($B54=Annahmen!$C$8,Annahmen!$C$91,0)))</f>
        <v>100.708708693333</v>
      </c>
    </row>
    <row r="55" customFormat="false" ht="15" hidden="false" customHeight="true" outlineLevel="0" collapsed="false">
      <c r="B55" s="39" t="n">
        <v>49</v>
      </c>
      <c r="C55" s="57" t="n">
        <f aca="false">1/(1+Annahmen!$C$10)^$B55</f>
        <v>0.886301190081431</v>
      </c>
      <c r="D55" s="57" t="n">
        <f aca="false">(1+Annahmen!$C$11)^INT(MAX($B55-1,0)/12)</f>
        <v>1.08243216</v>
      </c>
      <c r="E55" s="58" t="n">
        <f aca="false">IF($B55&gt;Annahmen!$C$8,0,IF($B55=0,-(Annahmen!$C$33+Annahmen!$C$41)+Annahmen!$C$77,-Annahmen!$C$6/12/100*Annahmen!$C$36*Annahmen!$C$27*$D55-(Annahmen!$C$39+Annahmen!$C$40+Annahmen!$C$42)/12+IF($B55=Annahmen!$C$19,Annahmen!$C$17,0)+IF(MOD($B55,12)=0,Annahmen!$C$20,0)+IF($B55=Annahmen!$C$8,Annahmen!$C$38,0)))</f>
        <v>-155.00371679408</v>
      </c>
      <c r="F55" s="58" t="n">
        <f aca="false">IF($B55&gt;Annahmen!$C$8,0,IF($B55=0,-(Annahmen!$C$49+Annahmen!$C$41)+Annahmen!$C$77,-Annahmen!$C$46*(1+Annahmen!$C$48)^INT(($B55-1)/Annahmen!$C$47)-Annahmen!$C$6/12/100*Annahmen!$C$36*Annahmen!$C$27*$D55-(Annahmen!$C$53+Annahmen!$C$54)/12+IF($B55=Annahmen!$C$19,Annahmen!$C$17,0)+IF(MOD($B55,12)=0,Annahmen!$C$20,0)-IF(MOD($B55,Annahmen!$C$47)=0,Annahmen!$C$52,0)-IF(AND(MOD($B55,Annahmen!$C$47)=0,$B55&lt;Annahmen!$C$8),Annahmen!$C$49*(1+Annahmen!$C$48)^($B55/Annahmen!$C$47),0)))</f>
        <v>-405.95371679408</v>
      </c>
      <c r="G55" s="58" t="n">
        <f aca="false">IF($B55&gt;Annahmen!$C$8,0,IF($B55=0,-Annahmen!$C$57+Annahmen!$C$77,-Annahmen!$C$6/12/100*Annahmen!$C$58*Annahmen!$C$28*$D55-(Annahmen!$C$61+Annahmen!$C$62+Annahmen!$C$63)/12+IF($B55=Annahmen!$C$8,Annahmen!$C$60,0)))</f>
        <v>-248.88645216</v>
      </c>
      <c r="H55" s="58" t="n">
        <f aca="false">IF($B55&gt;Annahmen!$C$8,0,IF($B55=0,-Annahmen!$C$66,IF($B55&lt;=Annahmen!$C$67*12,-Annahmen!$C$6/12/100*Annahmen!$C$72*$D55-(Annahmen!$C$73+Annahmen!$C$74+Annahmen!$C$75)/12+IF($B55=Annahmen!$C$67*12,Annahmen!$C$76-(Annahmen!$C$81+Annahmen!$C$41),0),-Annahmen!$C$6/12/100*Annahmen!$C$36*Annahmen!$C$27*$D55-(Annahmen!$C$39+Annahmen!$C$40+Annahmen!$C$42)/12+IF(MOD($B55,12)=0,Annahmen!$C$20,0)+IF($B55=Annahmen!$C$8,Annahmen!$C$82,0))+IF($B55=Annahmen!$C$67*12+Annahmen!$C$19,Annahmen!$C$17*Annahmen!$C$21,0)))</f>
        <v>-155.00371679408</v>
      </c>
      <c r="I55" s="59" t="n">
        <f aca="false">IF($B55&gt;Annahmen!$C$8,0,IF($B55=0,-(Annahmen!$C$86+Annahmen!$C$41)+Annahmen!$C$77,-Annahmen!$C$6/12/100*Annahmen!$C$89*Annahmen!$C$27*$D55-(Annahmen!$C$92+Annahmen!$C$93+Annahmen!$C$94+Annahmen!$C$95)/12+IF(MOD($B55,12)=0,Annahmen!$C$20,0)+IF($B55=Annahmen!$C$8,Annahmen!$C$91,0)))</f>
        <v>-200.693783799467</v>
      </c>
    </row>
    <row r="56" customFormat="false" ht="15" hidden="false" customHeight="true" outlineLevel="0" collapsed="false">
      <c r="B56" s="39" t="n">
        <v>50</v>
      </c>
      <c r="C56" s="57" t="n">
        <f aca="false">1/(1+Annahmen!$C$10)^$B56</f>
        <v>0.884120709899538</v>
      </c>
      <c r="D56" s="57" t="n">
        <f aca="false">(1+Annahmen!$C$11)^INT(MAX($B56-1,0)/12)</f>
        <v>1.08243216</v>
      </c>
      <c r="E56" s="58" t="n">
        <f aca="false">IF($B56&gt;Annahmen!$C$8,0,IF($B56=0,-(Annahmen!$C$33+Annahmen!$C$41)+Annahmen!$C$77,-Annahmen!$C$6/12/100*Annahmen!$C$36*Annahmen!$C$27*$D56-(Annahmen!$C$39+Annahmen!$C$40+Annahmen!$C$42)/12+IF($B56=Annahmen!$C$19,Annahmen!$C$17,0)+IF(MOD($B56,12)=0,Annahmen!$C$20,0)+IF($B56=Annahmen!$C$8,Annahmen!$C$38,0)))</f>
        <v>-155.00371679408</v>
      </c>
      <c r="F56" s="58" t="n">
        <f aca="false">IF($B56&gt;Annahmen!$C$8,0,IF($B56=0,-(Annahmen!$C$49+Annahmen!$C$41)+Annahmen!$C$77,-Annahmen!$C$46*(1+Annahmen!$C$48)^INT(($B56-1)/Annahmen!$C$47)-Annahmen!$C$6/12/100*Annahmen!$C$36*Annahmen!$C$27*$D56-(Annahmen!$C$53+Annahmen!$C$54)/12+IF($B56=Annahmen!$C$19,Annahmen!$C$17,0)+IF(MOD($B56,12)=0,Annahmen!$C$20,0)-IF(MOD($B56,Annahmen!$C$47)=0,Annahmen!$C$52,0)-IF(AND(MOD($B56,Annahmen!$C$47)=0,$B56&lt;Annahmen!$C$8),Annahmen!$C$49*(1+Annahmen!$C$48)^($B56/Annahmen!$C$47),0)))</f>
        <v>-405.95371679408</v>
      </c>
      <c r="G56" s="58" t="n">
        <f aca="false">IF($B56&gt;Annahmen!$C$8,0,IF($B56=0,-Annahmen!$C$57+Annahmen!$C$77,-Annahmen!$C$6/12/100*Annahmen!$C$58*Annahmen!$C$28*$D56-(Annahmen!$C$61+Annahmen!$C$62+Annahmen!$C$63)/12+IF($B56=Annahmen!$C$8,Annahmen!$C$60,0)))</f>
        <v>-248.88645216</v>
      </c>
      <c r="H56" s="58" t="n">
        <f aca="false">IF($B56&gt;Annahmen!$C$8,0,IF($B56=0,-Annahmen!$C$66,IF($B56&lt;=Annahmen!$C$67*12,-Annahmen!$C$6/12/100*Annahmen!$C$72*$D56-(Annahmen!$C$73+Annahmen!$C$74+Annahmen!$C$75)/12+IF($B56=Annahmen!$C$67*12,Annahmen!$C$76-(Annahmen!$C$81+Annahmen!$C$41),0),-Annahmen!$C$6/12/100*Annahmen!$C$36*Annahmen!$C$27*$D56-(Annahmen!$C$39+Annahmen!$C$40+Annahmen!$C$42)/12+IF(MOD($B56,12)=0,Annahmen!$C$20,0)+IF($B56=Annahmen!$C$8,Annahmen!$C$82,0))+IF($B56=Annahmen!$C$67*12+Annahmen!$C$19,Annahmen!$C$17*Annahmen!$C$21,0)))</f>
        <v>-155.00371679408</v>
      </c>
      <c r="I56" s="59" t="n">
        <f aca="false">IF($B56&gt;Annahmen!$C$8,0,IF($B56=0,-(Annahmen!$C$86+Annahmen!$C$41)+Annahmen!$C$77,-Annahmen!$C$6/12/100*Annahmen!$C$89*Annahmen!$C$27*$D56-(Annahmen!$C$92+Annahmen!$C$93+Annahmen!$C$94+Annahmen!$C$95)/12+IF(MOD($B56,12)=0,Annahmen!$C$20,0)+IF($B56=Annahmen!$C$8,Annahmen!$C$91,0)))</f>
        <v>-200.693783799467</v>
      </c>
    </row>
    <row r="57" customFormat="false" ht="15" hidden="false" customHeight="true" outlineLevel="0" collapsed="false">
      <c r="B57" s="39" t="n">
        <v>51</v>
      </c>
      <c r="C57" s="57" t="n">
        <f aca="false">1/(1+Annahmen!$C$10)^$B57</f>
        <v>0.881945594139894</v>
      </c>
      <c r="D57" s="57" t="n">
        <f aca="false">(1+Annahmen!$C$11)^INT(MAX($B57-1,0)/12)</f>
        <v>1.08243216</v>
      </c>
      <c r="E57" s="58" t="n">
        <f aca="false">IF($B57&gt;Annahmen!$C$8,0,IF($B57=0,-(Annahmen!$C$33+Annahmen!$C$41)+Annahmen!$C$77,-Annahmen!$C$6/12/100*Annahmen!$C$36*Annahmen!$C$27*$D57-(Annahmen!$C$39+Annahmen!$C$40+Annahmen!$C$42)/12+IF($B57=Annahmen!$C$19,Annahmen!$C$17,0)+IF(MOD($B57,12)=0,Annahmen!$C$20,0)+IF($B57=Annahmen!$C$8,Annahmen!$C$38,0)))</f>
        <v>-155.00371679408</v>
      </c>
      <c r="F57" s="58" t="n">
        <f aca="false">IF($B57&gt;Annahmen!$C$8,0,IF($B57=0,-(Annahmen!$C$49+Annahmen!$C$41)+Annahmen!$C$77,-Annahmen!$C$46*(1+Annahmen!$C$48)^INT(($B57-1)/Annahmen!$C$47)-Annahmen!$C$6/12/100*Annahmen!$C$36*Annahmen!$C$27*$D57-(Annahmen!$C$53+Annahmen!$C$54)/12+IF($B57=Annahmen!$C$19,Annahmen!$C$17,0)+IF(MOD($B57,12)=0,Annahmen!$C$20,0)-IF(MOD($B57,Annahmen!$C$47)=0,Annahmen!$C$52,0)-IF(AND(MOD($B57,Annahmen!$C$47)=0,$B57&lt;Annahmen!$C$8),Annahmen!$C$49*(1+Annahmen!$C$48)^($B57/Annahmen!$C$47),0)))</f>
        <v>-405.95371679408</v>
      </c>
      <c r="G57" s="58" t="n">
        <f aca="false">IF($B57&gt;Annahmen!$C$8,0,IF($B57=0,-Annahmen!$C$57+Annahmen!$C$77,-Annahmen!$C$6/12/100*Annahmen!$C$58*Annahmen!$C$28*$D57-(Annahmen!$C$61+Annahmen!$C$62+Annahmen!$C$63)/12+IF($B57=Annahmen!$C$8,Annahmen!$C$60,0)))</f>
        <v>-248.88645216</v>
      </c>
      <c r="H57" s="58" t="n">
        <f aca="false">IF($B57&gt;Annahmen!$C$8,0,IF($B57=0,-Annahmen!$C$66,IF($B57&lt;=Annahmen!$C$67*12,-Annahmen!$C$6/12/100*Annahmen!$C$72*$D57-(Annahmen!$C$73+Annahmen!$C$74+Annahmen!$C$75)/12+IF($B57=Annahmen!$C$67*12,Annahmen!$C$76-(Annahmen!$C$81+Annahmen!$C$41),0),-Annahmen!$C$6/12/100*Annahmen!$C$36*Annahmen!$C$27*$D57-(Annahmen!$C$39+Annahmen!$C$40+Annahmen!$C$42)/12+IF(MOD($B57,12)=0,Annahmen!$C$20,0)+IF($B57=Annahmen!$C$8,Annahmen!$C$82,0))+IF($B57=Annahmen!$C$67*12+Annahmen!$C$19,Annahmen!$C$17*Annahmen!$C$21,0)))</f>
        <v>-155.00371679408</v>
      </c>
      <c r="I57" s="59" t="n">
        <f aca="false">IF($B57&gt;Annahmen!$C$8,0,IF($B57=0,-(Annahmen!$C$86+Annahmen!$C$41)+Annahmen!$C$77,-Annahmen!$C$6/12/100*Annahmen!$C$89*Annahmen!$C$27*$D57-(Annahmen!$C$92+Annahmen!$C$93+Annahmen!$C$94+Annahmen!$C$95)/12+IF(MOD($B57,12)=0,Annahmen!$C$20,0)+IF($B57=Annahmen!$C$8,Annahmen!$C$91,0)))</f>
        <v>-200.693783799467</v>
      </c>
    </row>
    <row r="58" customFormat="false" ht="15" hidden="false" customHeight="true" outlineLevel="0" collapsed="false">
      <c r="B58" s="39" t="n">
        <v>52</v>
      </c>
      <c r="C58" s="57" t="n">
        <f aca="false">1/(1+Annahmen!$C$10)^$B58</f>
        <v>0.879775829604936</v>
      </c>
      <c r="D58" s="57" t="n">
        <f aca="false">(1+Annahmen!$C$11)^INT(MAX($B58-1,0)/12)</f>
        <v>1.08243216</v>
      </c>
      <c r="E58" s="58" t="n">
        <f aca="false">IF($B58&gt;Annahmen!$C$8,0,IF($B58=0,-(Annahmen!$C$33+Annahmen!$C$41)+Annahmen!$C$77,-Annahmen!$C$6/12/100*Annahmen!$C$36*Annahmen!$C$27*$D58-(Annahmen!$C$39+Annahmen!$C$40+Annahmen!$C$42)/12+IF($B58=Annahmen!$C$19,Annahmen!$C$17,0)+IF(MOD($B58,12)=0,Annahmen!$C$20,0)+IF($B58=Annahmen!$C$8,Annahmen!$C$38,0)))</f>
        <v>-155.00371679408</v>
      </c>
      <c r="F58" s="58" t="n">
        <f aca="false">IF($B58&gt;Annahmen!$C$8,0,IF($B58=0,-(Annahmen!$C$49+Annahmen!$C$41)+Annahmen!$C$77,-Annahmen!$C$46*(1+Annahmen!$C$48)^INT(($B58-1)/Annahmen!$C$47)-Annahmen!$C$6/12/100*Annahmen!$C$36*Annahmen!$C$27*$D58-(Annahmen!$C$53+Annahmen!$C$54)/12+IF($B58=Annahmen!$C$19,Annahmen!$C$17,0)+IF(MOD($B58,12)=0,Annahmen!$C$20,0)-IF(MOD($B58,Annahmen!$C$47)=0,Annahmen!$C$52,0)-IF(AND(MOD($B58,Annahmen!$C$47)=0,$B58&lt;Annahmen!$C$8),Annahmen!$C$49*(1+Annahmen!$C$48)^($B58/Annahmen!$C$47),0)))</f>
        <v>-405.95371679408</v>
      </c>
      <c r="G58" s="58" t="n">
        <f aca="false">IF($B58&gt;Annahmen!$C$8,0,IF($B58=0,-Annahmen!$C$57+Annahmen!$C$77,-Annahmen!$C$6/12/100*Annahmen!$C$58*Annahmen!$C$28*$D58-(Annahmen!$C$61+Annahmen!$C$62+Annahmen!$C$63)/12+IF($B58=Annahmen!$C$8,Annahmen!$C$60,0)))</f>
        <v>-248.88645216</v>
      </c>
      <c r="H58" s="58" t="n">
        <f aca="false">IF($B58&gt;Annahmen!$C$8,0,IF($B58=0,-Annahmen!$C$66,IF($B58&lt;=Annahmen!$C$67*12,-Annahmen!$C$6/12/100*Annahmen!$C$72*$D58-(Annahmen!$C$73+Annahmen!$C$74+Annahmen!$C$75)/12+IF($B58=Annahmen!$C$67*12,Annahmen!$C$76-(Annahmen!$C$81+Annahmen!$C$41),0),-Annahmen!$C$6/12/100*Annahmen!$C$36*Annahmen!$C$27*$D58-(Annahmen!$C$39+Annahmen!$C$40+Annahmen!$C$42)/12+IF(MOD($B58,12)=0,Annahmen!$C$20,0)+IF($B58=Annahmen!$C$8,Annahmen!$C$82,0))+IF($B58=Annahmen!$C$67*12+Annahmen!$C$19,Annahmen!$C$17*Annahmen!$C$21,0)))</f>
        <v>-155.00371679408</v>
      </c>
      <c r="I58" s="59" t="n">
        <f aca="false">IF($B58&gt;Annahmen!$C$8,0,IF($B58=0,-(Annahmen!$C$86+Annahmen!$C$41)+Annahmen!$C$77,-Annahmen!$C$6/12/100*Annahmen!$C$89*Annahmen!$C$27*$D58-(Annahmen!$C$92+Annahmen!$C$93+Annahmen!$C$94+Annahmen!$C$95)/12+IF(MOD($B58,12)=0,Annahmen!$C$20,0)+IF($B58=Annahmen!$C$8,Annahmen!$C$91,0)))</f>
        <v>-200.693783799467</v>
      </c>
    </row>
    <row r="59" customFormat="false" ht="15" hidden="false" customHeight="true" outlineLevel="0" collapsed="false">
      <c r="B59" s="39" t="n">
        <v>53</v>
      </c>
      <c r="C59" s="57" t="n">
        <f aca="false">1/(1+Annahmen!$C$10)^$B59</f>
        <v>0.877611403129569</v>
      </c>
      <c r="D59" s="57" t="n">
        <f aca="false">(1+Annahmen!$C$11)^INT(MAX($B59-1,0)/12)</f>
        <v>1.08243216</v>
      </c>
      <c r="E59" s="58" t="n">
        <f aca="false">IF($B59&gt;Annahmen!$C$8,0,IF($B59=0,-(Annahmen!$C$33+Annahmen!$C$41)+Annahmen!$C$77,-Annahmen!$C$6/12/100*Annahmen!$C$36*Annahmen!$C$27*$D59-(Annahmen!$C$39+Annahmen!$C$40+Annahmen!$C$42)/12+IF($B59=Annahmen!$C$19,Annahmen!$C$17,0)+IF(MOD($B59,12)=0,Annahmen!$C$20,0)+IF($B59=Annahmen!$C$8,Annahmen!$C$38,0)))</f>
        <v>-155.00371679408</v>
      </c>
      <c r="F59" s="58" t="n">
        <f aca="false">IF($B59&gt;Annahmen!$C$8,0,IF($B59=0,-(Annahmen!$C$49+Annahmen!$C$41)+Annahmen!$C$77,-Annahmen!$C$46*(1+Annahmen!$C$48)^INT(($B59-1)/Annahmen!$C$47)-Annahmen!$C$6/12/100*Annahmen!$C$36*Annahmen!$C$27*$D59-(Annahmen!$C$53+Annahmen!$C$54)/12+IF($B59=Annahmen!$C$19,Annahmen!$C$17,0)+IF(MOD($B59,12)=0,Annahmen!$C$20,0)-IF(MOD($B59,Annahmen!$C$47)=0,Annahmen!$C$52,0)-IF(AND(MOD($B59,Annahmen!$C$47)=0,$B59&lt;Annahmen!$C$8),Annahmen!$C$49*(1+Annahmen!$C$48)^($B59/Annahmen!$C$47),0)))</f>
        <v>-405.95371679408</v>
      </c>
      <c r="G59" s="58" t="n">
        <f aca="false">IF($B59&gt;Annahmen!$C$8,0,IF($B59=0,-Annahmen!$C$57+Annahmen!$C$77,-Annahmen!$C$6/12/100*Annahmen!$C$58*Annahmen!$C$28*$D59-(Annahmen!$C$61+Annahmen!$C$62+Annahmen!$C$63)/12+IF($B59=Annahmen!$C$8,Annahmen!$C$60,0)))</f>
        <v>-248.88645216</v>
      </c>
      <c r="H59" s="58" t="n">
        <f aca="false">IF($B59&gt;Annahmen!$C$8,0,IF($B59=0,-Annahmen!$C$66,IF($B59&lt;=Annahmen!$C$67*12,-Annahmen!$C$6/12/100*Annahmen!$C$72*$D59-(Annahmen!$C$73+Annahmen!$C$74+Annahmen!$C$75)/12+IF($B59=Annahmen!$C$67*12,Annahmen!$C$76-(Annahmen!$C$81+Annahmen!$C$41),0),-Annahmen!$C$6/12/100*Annahmen!$C$36*Annahmen!$C$27*$D59-(Annahmen!$C$39+Annahmen!$C$40+Annahmen!$C$42)/12+IF(MOD($B59,12)=0,Annahmen!$C$20,0)+IF($B59=Annahmen!$C$8,Annahmen!$C$82,0))+IF($B59=Annahmen!$C$67*12+Annahmen!$C$19,Annahmen!$C$17*Annahmen!$C$21,0)))</f>
        <v>-155.00371679408</v>
      </c>
      <c r="I59" s="59" t="n">
        <f aca="false">IF($B59&gt;Annahmen!$C$8,0,IF($B59=0,-(Annahmen!$C$86+Annahmen!$C$41)+Annahmen!$C$77,-Annahmen!$C$6/12/100*Annahmen!$C$89*Annahmen!$C$27*$D59-(Annahmen!$C$92+Annahmen!$C$93+Annahmen!$C$94+Annahmen!$C$95)/12+IF(MOD($B59,12)=0,Annahmen!$C$20,0)+IF($B59=Annahmen!$C$8,Annahmen!$C$91,0)))</f>
        <v>-200.693783799467</v>
      </c>
    </row>
    <row r="60" customFormat="false" ht="15" hidden="false" customHeight="true" outlineLevel="0" collapsed="false">
      <c r="B60" s="39" t="n">
        <v>54</v>
      </c>
      <c r="C60" s="57" t="n">
        <f aca="false">1/(1+Annahmen!$C$10)^$B60</f>
        <v>0.875452301581085</v>
      </c>
      <c r="D60" s="57" t="n">
        <f aca="false">(1+Annahmen!$C$11)^INT(MAX($B60-1,0)/12)</f>
        <v>1.08243216</v>
      </c>
      <c r="E60" s="58" t="n">
        <f aca="false">IF($B60&gt;Annahmen!$C$8,0,IF($B60=0,-(Annahmen!$C$33+Annahmen!$C$41)+Annahmen!$C$77,-Annahmen!$C$6/12/100*Annahmen!$C$36*Annahmen!$C$27*$D60-(Annahmen!$C$39+Annahmen!$C$40+Annahmen!$C$42)/12+IF($B60=Annahmen!$C$19,Annahmen!$C$17,0)+IF(MOD($B60,12)=0,Annahmen!$C$20,0)+IF($B60=Annahmen!$C$8,Annahmen!$C$38,0)))</f>
        <v>-155.00371679408</v>
      </c>
      <c r="F60" s="58" t="n">
        <f aca="false">IF($B60&gt;Annahmen!$C$8,0,IF($B60=0,-(Annahmen!$C$49+Annahmen!$C$41)+Annahmen!$C$77,-Annahmen!$C$46*(1+Annahmen!$C$48)^INT(($B60-1)/Annahmen!$C$47)-Annahmen!$C$6/12/100*Annahmen!$C$36*Annahmen!$C$27*$D60-(Annahmen!$C$53+Annahmen!$C$54)/12+IF($B60=Annahmen!$C$19,Annahmen!$C$17,0)+IF(MOD($B60,12)=0,Annahmen!$C$20,0)-IF(MOD($B60,Annahmen!$C$47)=0,Annahmen!$C$52,0)-IF(AND(MOD($B60,Annahmen!$C$47)=0,$B60&lt;Annahmen!$C$8),Annahmen!$C$49*(1+Annahmen!$C$48)^($B60/Annahmen!$C$47),0)))</f>
        <v>-405.95371679408</v>
      </c>
      <c r="G60" s="58" t="n">
        <f aca="false">IF($B60&gt;Annahmen!$C$8,0,IF($B60=0,-Annahmen!$C$57+Annahmen!$C$77,-Annahmen!$C$6/12/100*Annahmen!$C$58*Annahmen!$C$28*$D60-(Annahmen!$C$61+Annahmen!$C$62+Annahmen!$C$63)/12+IF($B60=Annahmen!$C$8,Annahmen!$C$60,0)))</f>
        <v>-248.88645216</v>
      </c>
      <c r="H60" s="58" t="n">
        <f aca="false">IF($B60&gt;Annahmen!$C$8,0,IF($B60=0,-Annahmen!$C$66,IF($B60&lt;=Annahmen!$C$67*12,-Annahmen!$C$6/12/100*Annahmen!$C$72*$D60-(Annahmen!$C$73+Annahmen!$C$74+Annahmen!$C$75)/12+IF($B60=Annahmen!$C$67*12,Annahmen!$C$76-(Annahmen!$C$81+Annahmen!$C$41),0),-Annahmen!$C$6/12/100*Annahmen!$C$36*Annahmen!$C$27*$D60-(Annahmen!$C$39+Annahmen!$C$40+Annahmen!$C$42)/12+IF(MOD($B60,12)=0,Annahmen!$C$20,0)+IF($B60=Annahmen!$C$8,Annahmen!$C$82,0))+IF($B60=Annahmen!$C$67*12+Annahmen!$C$19,Annahmen!$C$17*Annahmen!$C$21,0)))</f>
        <v>-155.00371679408</v>
      </c>
      <c r="I60" s="59" t="n">
        <f aca="false">IF($B60&gt;Annahmen!$C$8,0,IF($B60=0,-(Annahmen!$C$86+Annahmen!$C$41)+Annahmen!$C$77,-Annahmen!$C$6/12/100*Annahmen!$C$89*Annahmen!$C$27*$D60-(Annahmen!$C$92+Annahmen!$C$93+Annahmen!$C$94+Annahmen!$C$95)/12+IF(MOD($B60,12)=0,Annahmen!$C$20,0)+IF($B60=Annahmen!$C$8,Annahmen!$C$91,0)))</f>
        <v>-200.693783799467</v>
      </c>
    </row>
    <row r="61" customFormat="false" ht="15" hidden="false" customHeight="true" outlineLevel="0" collapsed="false">
      <c r="B61" s="39" t="n">
        <v>55</v>
      </c>
      <c r="C61" s="57" t="n">
        <f aca="false">1/(1+Annahmen!$C$10)^$B61</f>
        <v>0.87329851185909</v>
      </c>
      <c r="D61" s="57" t="n">
        <f aca="false">(1+Annahmen!$C$11)^INT(MAX($B61-1,0)/12)</f>
        <v>1.08243216</v>
      </c>
      <c r="E61" s="58" t="n">
        <f aca="false">IF($B61&gt;Annahmen!$C$8,0,IF($B61=0,-(Annahmen!$C$33+Annahmen!$C$41)+Annahmen!$C$77,-Annahmen!$C$6/12/100*Annahmen!$C$36*Annahmen!$C$27*$D61-(Annahmen!$C$39+Annahmen!$C$40+Annahmen!$C$42)/12+IF($B61=Annahmen!$C$19,Annahmen!$C$17,0)+IF(MOD($B61,12)=0,Annahmen!$C$20,0)+IF($B61=Annahmen!$C$8,Annahmen!$C$38,0)))</f>
        <v>-155.00371679408</v>
      </c>
      <c r="F61" s="58" t="n">
        <f aca="false">IF($B61&gt;Annahmen!$C$8,0,IF($B61=0,-(Annahmen!$C$49+Annahmen!$C$41)+Annahmen!$C$77,-Annahmen!$C$46*(1+Annahmen!$C$48)^INT(($B61-1)/Annahmen!$C$47)-Annahmen!$C$6/12/100*Annahmen!$C$36*Annahmen!$C$27*$D61-(Annahmen!$C$53+Annahmen!$C$54)/12+IF($B61=Annahmen!$C$19,Annahmen!$C$17,0)+IF(MOD($B61,12)=0,Annahmen!$C$20,0)-IF(MOD($B61,Annahmen!$C$47)=0,Annahmen!$C$52,0)-IF(AND(MOD($B61,Annahmen!$C$47)=0,$B61&lt;Annahmen!$C$8),Annahmen!$C$49*(1+Annahmen!$C$48)^($B61/Annahmen!$C$47),0)))</f>
        <v>-405.95371679408</v>
      </c>
      <c r="G61" s="58" t="n">
        <f aca="false">IF($B61&gt;Annahmen!$C$8,0,IF($B61=0,-Annahmen!$C$57+Annahmen!$C$77,-Annahmen!$C$6/12/100*Annahmen!$C$58*Annahmen!$C$28*$D61-(Annahmen!$C$61+Annahmen!$C$62+Annahmen!$C$63)/12+IF($B61=Annahmen!$C$8,Annahmen!$C$60,0)))</f>
        <v>-248.88645216</v>
      </c>
      <c r="H61" s="58" t="n">
        <f aca="false">IF($B61&gt;Annahmen!$C$8,0,IF($B61=0,-Annahmen!$C$66,IF($B61&lt;=Annahmen!$C$67*12,-Annahmen!$C$6/12/100*Annahmen!$C$72*$D61-(Annahmen!$C$73+Annahmen!$C$74+Annahmen!$C$75)/12+IF($B61=Annahmen!$C$67*12,Annahmen!$C$76-(Annahmen!$C$81+Annahmen!$C$41),0),-Annahmen!$C$6/12/100*Annahmen!$C$36*Annahmen!$C$27*$D61-(Annahmen!$C$39+Annahmen!$C$40+Annahmen!$C$42)/12+IF(MOD($B61,12)=0,Annahmen!$C$20,0)+IF($B61=Annahmen!$C$8,Annahmen!$C$82,0))+IF($B61=Annahmen!$C$67*12+Annahmen!$C$19,Annahmen!$C$17*Annahmen!$C$21,0)))</f>
        <v>-155.00371679408</v>
      </c>
      <c r="I61" s="59" t="n">
        <f aca="false">IF($B61&gt;Annahmen!$C$8,0,IF($B61=0,-(Annahmen!$C$86+Annahmen!$C$41)+Annahmen!$C$77,-Annahmen!$C$6/12/100*Annahmen!$C$89*Annahmen!$C$27*$D61-(Annahmen!$C$92+Annahmen!$C$93+Annahmen!$C$94+Annahmen!$C$95)/12+IF(MOD($B61,12)=0,Annahmen!$C$20,0)+IF($B61=Annahmen!$C$8,Annahmen!$C$91,0)))</f>
        <v>-200.693783799467</v>
      </c>
    </row>
    <row r="62" customFormat="false" ht="15" hidden="false" customHeight="true" outlineLevel="0" collapsed="false">
      <c r="B62" s="39" t="n">
        <v>56</v>
      </c>
      <c r="C62" s="57" t="n">
        <f aca="false">1/(1+Annahmen!$C$10)^$B62</f>
        <v>0.871150020895413</v>
      </c>
      <c r="D62" s="57" t="n">
        <f aca="false">(1+Annahmen!$C$11)^INT(MAX($B62-1,0)/12)</f>
        <v>1.08243216</v>
      </c>
      <c r="E62" s="58" t="n">
        <f aca="false">IF($B62&gt;Annahmen!$C$8,0,IF($B62=0,-(Annahmen!$C$33+Annahmen!$C$41)+Annahmen!$C$77,-Annahmen!$C$6/12/100*Annahmen!$C$36*Annahmen!$C$27*$D62-(Annahmen!$C$39+Annahmen!$C$40+Annahmen!$C$42)/12+IF($B62=Annahmen!$C$19,Annahmen!$C$17,0)+IF(MOD($B62,12)=0,Annahmen!$C$20,0)+IF($B62=Annahmen!$C$8,Annahmen!$C$38,0)))</f>
        <v>-155.00371679408</v>
      </c>
      <c r="F62" s="58" t="n">
        <f aca="false">IF($B62&gt;Annahmen!$C$8,0,IF($B62=0,-(Annahmen!$C$49+Annahmen!$C$41)+Annahmen!$C$77,-Annahmen!$C$46*(1+Annahmen!$C$48)^INT(($B62-1)/Annahmen!$C$47)-Annahmen!$C$6/12/100*Annahmen!$C$36*Annahmen!$C$27*$D62-(Annahmen!$C$53+Annahmen!$C$54)/12+IF($B62=Annahmen!$C$19,Annahmen!$C$17,0)+IF(MOD($B62,12)=0,Annahmen!$C$20,0)-IF(MOD($B62,Annahmen!$C$47)=0,Annahmen!$C$52,0)-IF(AND(MOD($B62,Annahmen!$C$47)=0,$B62&lt;Annahmen!$C$8),Annahmen!$C$49*(1+Annahmen!$C$48)^($B62/Annahmen!$C$47),0)))</f>
        <v>-405.95371679408</v>
      </c>
      <c r="G62" s="58" t="n">
        <f aca="false">IF($B62&gt;Annahmen!$C$8,0,IF($B62=0,-Annahmen!$C$57+Annahmen!$C$77,-Annahmen!$C$6/12/100*Annahmen!$C$58*Annahmen!$C$28*$D62-(Annahmen!$C$61+Annahmen!$C$62+Annahmen!$C$63)/12+IF($B62=Annahmen!$C$8,Annahmen!$C$60,0)))</f>
        <v>-248.88645216</v>
      </c>
      <c r="H62" s="58" t="n">
        <f aca="false">IF($B62&gt;Annahmen!$C$8,0,IF($B62=0,-Annahmen!$C$66,IF($B62&lt;=Annahmen!$C$67*12,-Annahmen!$C$6/12/100*Annahmen!$C$72*$D62-(Annahmen!$C$73+Annahmen!$C$74+Annahmen!$C$75)/12+IF($B62=Annahmen!$C$67*12,Annahmen!$C$76-(Annahmen!$C$81+Annahmen!$C$41),0),-Annahmen!$C$6/12/100*Annahmen!$C$36*Annahmen!$C$27*$D62-(Annahmen!$C$39+Annahmen!$C$40+Annahmen!$C$42)/12+IF(MOD($B62,12)=0,Annahmen!$C$20,0)+IF($B62=Annahmen!$C$8,Annahmen!$C$82,0))+IF($B62=Annahmen!$C$67*12+Annahmen!$C$19,Annahmen!$C$17*Annahmen!$C$21,0)))</f>
        <v>-155.00371679408</v>
      </c>
      <c r="I62" s="59" t="n">
        <f aca="false">IF($B62&gt;Annahmen!$C$8,0,IF($B62=0,-(Annahmen!$C$86+Annahmen!$C$41)+Annahmen!$C$77,-Annahmen!$C$6/12/100*Annahmen!$C$89*Annahmen!$C$27*$D62-(Annahmen!$C$92+Annahmen!$C$93+Annahmen!$C$94+Annahmen!$C$95)/12+IF(MOD($B62,12)=0,Annahmen!$C$20,0)+IF($B62=Annahmen!$C$8,Annahmen!$C$91,0)))</f>
        <v>-200.693783799467</v>
      </c>
    </row>
    <row r="63" customFormat="false" ht="15" hidden="false" customHeight="true" outlineLevel="0" collapsed="false">
      <c r="B63" s="39" t="n">
        <v>57</v>
      </c>
      <c r="C63" s="57" t="n">
        <f aca="false">1/(1+Annahmen!$C$10)^$B63</f>
        <v>0.86900681565404</v>
      </c>
      <c r="D63" s="57" t="n">
        <f aca="false">(1+Annahmen!$C$11)^INT(MAX($B63-1,0)/12)</f>
        <v>1.08243216</v>
      </c>
      <c r="E63" s="58" t="n">
        <f aca="false">IF($B63&gt;Annahmen!$C$8,0,IF($B63=0,-(Annahmen!$C$33+Annahmen!$C$41)+Annahmen!$C$77,-Annahmen!$C$6/12/100*Annahmen!$C$36*Annahmen!$C$27*$D63-(Annahmen!$C$39+Annahmen!$C$40+Annahmen!$C$42)/12+IF($B63=Annahmen!$C$19,Annahmen!$C$17,0)+IF(MOD($B63,12)=0,Annahmen!$C$20,0)+IF($B63=Annahmen!$C$8,Annahmen!$C$38,0)))</f>
        <v>-155.00371679408</v>
      </c>
      <c r="F63" s="58" t="n">
        <f aca="false">IF($B63&gt;Annahmen!$C$8,0,IF($B63=0,-(Annahmen!$C$49+Annahmen!$C$41)+Annahmen!$C$77,-Annahmen!$C$46*(1+Annahmen!$C$48)^INT(($B63-1)/Annahmen!$C$47)-Annahmen!$C$6/12/100*Annahmen!$C$36*Annahmen!$C$27*$D63-(Annahmen!$C$53+Annahmen!$C$54)/12+IF($B63=Annahmen!$C$19,Annahmen!$C$17,0)+IF(MOD($B63,12)=0,Annahmen!$C$20,0)-IF(MOD($B63,Annahmen!$C$47)=0,Annahmen!$C$52,0)-IF(AND(MOD($B63,Annahmen!$C$47)=0,$B63&lt;Annahmen!$C$8),Annahmen!$C$49*(1+Annahmen!$C$48)^($B63/Annahmen!$C$47),0)))</f>
        <v>-405.95371679408</v>
      </c>
      <c r="G63" s="58" t="n">
        <f aca="false">IF($B63&gt;Annahmen!$C$8,0,IF($B63=0,-Annahmen!$C$57+Annahmen!$C$77,-Annahmen!$C$6/12/100*Annahmen!$C$58*Annahmen!$C$28*$D63-(Annahmen!$C$61+Annahmen!$C$62+Annahmen!$C$63)/12+IF($B63=Annahmen!$C$8,Annahmen!$C$60,0)))</f>
        <v>-248.88645216</v>
      </c>
      <c r="H63" s="58" t="n">
        <f aca="false">IF($B63&gt;Annahmen!$C$8,0,IF($B63=0,-Annahmen!$C$66,IF($B63&lt;=Annahmen!$C$67*12,-Annahmen!$C$6/12/100*Annahmen!$C$72*$D63-(Annahmen!$C$73+Annahmen!$C$74+Annahmen!$C$75)/12+IF($B63=Annahmen!$C$67*12,Annahmen!$C$76-(Annahmen!$C$81+Annahmen!$C$41),0),-Annahmen!$C$6/12/100*Annahmen!$C$36*Annahmen!$C$27*$D63-(Annahmen!$C$39+Annahmen!$C$40+Annahmen!$C$42)/12+IF(MOD($B63,12)=0,Annahmen!$C$20,0)+IF($B63=Annahmen!$C$8,Annahmen!$C$82,0))+IF($B63=Annahmen!$C$67*12+Annahmen!$C$19,Annahmen!$C$17*Annahmen!$C$21,0)))</f>
        <v>-155.00371679408</v>
      </c>
      <c r="I63" s="59" t="n">
        <f aca="false">IF($B63&gt;Annahmen!$C$8,0,IF($B63=0,-(Annahmen!$C$86+Annahmen!$C$41)+Annahmen!$C$77,-Annahmen!$C$6/12/100*Annahmen!$C$89*Annahmen!$C$27*$D63-(Annahmen!$C$92+Annahmen!$C$93+Annahmen!$C$94+Annahmen!$C$95)/12+IF(MOD($B63,12)=0,Annahmen!$C$20,0)+IF($B63=Annahmen!$C$8,Annahmen!$C$91,0)))</f>
        <v>-200.693783799467</v>
      </c>
    </row>
    <row r="64" customFormat="false" ht="15" hidden="false" customHeight="true" outlineLevel="0" collapsed="false">
      <c r="B64" s="39" t="n">
        <v>58</v>
      </c>
      <c r="C64" s="57" t="n">
        <f aca="false">1/(1+Annahmen!$C$10)^$B64</f>
        <v>0.866868883131023</v>
      </c>
      <c r="D64" s="57" t="n">
        <f aca="false">(1+Annahmen!$C$11)^INT(MAX($B64-1,0)/12)</f>
        <v>1.08243216</v>
      </c>
      <c r="E64" s="58" t="n">
        <f aca="false">IF($B64&gt;Annahmen!$C$8,0,IF($B64=0,-(Annahmen!$C$33+Annahmen!$C$41)+Annahmen!$C$77,-Annahmen!$C$6/12/100*Annahmen!$C$36*Annahmen!$C$27*$D64-(Annahmen!$C$39+Annahmen!$C$40+Annahmen!$C$42)/12+IF($B64=Annahmen!$C$19,Annahmen!$C$17,0)+IF(MOD($B64,12)=0,Annahmen!$C$20,0)+IF($B64=Annahmen!$C$8,Annahmen!$C$38,0)))</f>
        <v>-155.00371679408</v>
      </c>
      <c r="F64" s="58" t="n">
        <f aca="false">IF($B64&gt;Annahmen!$C$8,0,IF($B64=0,-(Annahmen!$C$49+Annahmen!$C$41)+Annahmen!$C$77,-Annahmen!$C$46*(1+Annahmen!$C$48)^INT(($B64-1)/Annahmen!$C$47)-Annahmen!$C$6/12/100*Annahmen!$C$36*Annahmen!$C$27*$D64-(Annahmen!$C$53+Annahmen!$C$54)/12+IF($B64=Annahmen!$C$19,Annahmen!$C$17,0)+IF(MOD($B64,12)=0,Annahmen!$C$20,0)-IF(MOD($B64,Annahmen!$C$47)=0,Annahmen!$C$52,0)-IF(AND(MOD($B64,Annahmen!$C$47)=0,$B64&lt;Annahmen!$C$8),Annahmen!$C$49*(1+Annahmen!$C$48)^($B64/Annahmen!$C$47),0)))</f>
        <v>-405.95371679408</v>
      </c>
      <c r="G64" s="58" t="n">
        <f aca="false">IF($B64&gt;Annahmen!$C$8,0,IF($B64=0,-Annahmen!$C$57+Annahmen!$C$77,-Annahmen!$C$6/12/100*Annahmen!$C$58*Annahmen!$C$28*$D64-(Annahmen!$C$61+Annahmen!$C$62+Annahmen!$C$63)/12+IF($B64=Annahmen!$C$8,Annahmen!$C$60,0)))</f>
        <v>-248.88645216</v>
      </c>
      <c r="H64" s="58" t="n">
        <f aca="false">IF($B64&gt;Annahmen!$C$8,0,IF($B64=0,-Annahmen!$C$66,IF($B64&lt;=Annahmen!$C$67*12,-Annahmen!$C$6/12/100*Annahmen!$C$72*$D64-(Annahmen!$C$73+Annahmen!$C$74+Annahmen!$C$75)/12+IF($B64=Annahmen!$C$67*12,Annahmen!$C$76-(Annahmen!$C$81+Annahmen!$C$41),0),-Annahmen!$C$6/12/100*Annahmen!$C$36*Annahmen!$C$27*$D64-(Annahmen!$C$39+Annahmen!$C$40+Annahmen!$C$42)/12+IF(MOD($B64,12)=0,Annahmen!$C$20,0)+IF($B64=Annahmen!$C$8,Annahmen!$C$82,0))+IF($B64=Annahmen!$C$67*12+Annahmen!$C$19,Annahmen!$C$17*Annahmen!$C$21,0)))</f>
        <v>-155.00371679408</v>
      </c>
      <c r="I64" s="59" t="n">
        <f aca="false">IF($B64&gt;Annahmen!$C$8,0,IF($B64=0,-(Annahmen!$C$86+Annahmen!$C$41)+Annahmen!$C$77,-Annahmen!$C$6/12/100*Annahmen!$C$89*Annahmen!$C$27*$D64-(Annahmen!$C$92+Annahmen!$C$93+Annahmen!$C$94+Annahmen!$C$95)/12+IF(MOD($B64,12)=0,Annahmen!$C$20,0)+IF($B64=Annahmen!$C$8,Annahmen!$C$91,0)))</f>
        <v>-200.693783799467</v>
      </c>
    </row>
    <row r="65" customFormat="false" ht="15" hidden="false" customHeight="true" outlineLevel="0" collapsed="false">
      <c r="B65" s="39" t="n">
        <v>59</v>
      </c>
      <c r="C65" s="57" t="n">
        <f aca="false">1/(1+Annahmen!$C$10)^$B65</f>
        <v>0.86473621035441</v>
      </c>
      <c r="D65" s="57" t="n">
        <f aca="false">(1+Annahmen!$C$11)^INT(MAX($B65-1,0)/12)</f>
        <v>1.08243216</v>
      </c>
      <c r="E65" s="58" t="n">
        <f aca="false">IF($B65&gt;Annahmen!$C$8,0,IF($B65=0,-(Annahmen!$C$33+Annahmen!$C$41)+Annahmen!$C$77,-Annahmen!$C$6/12/100*Annahmen!$C$36*Annahmen!$C$27*$D65-(Annahmen!$C$39+Annahmen!$C$40+Annahmen!$C$42)/12+IF($B65=Annahmen!$C$19,Annahmen!$C$17,0)+IF(MOD($B65,12)=0,Annahmen!$C$20,0)+IF($B65=Annahmen!$C$8,Annahmen!$C$38,0)))</f>
        <v>-155.00371679408</v>
      </c>
      <c r="F65" s="58" t="n">
        <f aca="false">IF($B65&gt;Annahmen!$C$8,0,IF($B65=0,-(Annahmen!$C$49+Annahmen!$C$41)+Annahmen!$C$77,-Annahmen!$C$46*(1+Annahmen!$C$48)^INT(($B65-1)/Annahmen!$C$47)-Annahmen!$C$6/12/100*Annahmen!$C$36*Annahmen!$C$27*$D65-(Annahmen!$C$53+Annahmen!$C$54)/12+IF($B65=Annahmen!$C$19,Annahmen!$C$17,0)+IF(MOD($B65,12)=0,Annahmen!$C$20,0)-IF(MOD($B65,Annahmen!$C$47)=0,Annahmen!$C$52,0)-IF(AND(MOD($B65,Annahmen!$C$47)=0,$B65&lt;Annahmen!$C$8),Annahmen!$C$49*(1+Annahmen!$C$48)^($B65/Annahmen!$C$47),0)))</f>
        <v>-405.95371679408</v>
      </c>
      <c r="G65" s="58" t="n">
        <f aca="false">IF($B65&gt;Annahmen!$C$8,0,IF($B65=0,-Annahmen!$C$57+Annahmen!$C$77,-Annahmen!$C$6/12/100*Annahmen!$C$58*Annahmen!$C$28*$D65-(Annahmen!$C$61+Annahmen!$C$62+Annahmen!$C$63)/12+IF($B65=Annahmen!$C$8,Annahmen!$C$60,0)))</f>
        <v>-248.88645216</v>
      </c>
      <c r="H65" s="58" t="n">
        <f aca="false">IF($B65&gt;Annahmen!$C$8,0,IF($B65=0,-Annahmen!$C$66,IF($B65&lt;=Annahmen!$C$67*12,-Annahmen!$C$6/12/100*Annahmen!$C$72*$D65-(Annahmen!$C$73+Annahmen!$C$74+Annahmen!$C$75)/12+IF($B65=Annahmen!$C$67*12,Annahmen!$C$76-(Annahmen!$C$81+Annahmen!$C$41),0),-Annahmen!$C$6/12/100*Annahmen!$C$36*Annahmen!$C$27*$D65-(Annahmen!$C$39+Annahmen!$C$40+Annahmen!$C$42)/12+IF(MOD($B65,12)=0,Annahmen!$C$20,0)+IF($B65=Annahmen!$C$8,Annahmen!$C$82,0))+IF($B65=Annahmen!$C$67*12+Annahmen!$C$19,Annahmen!$C$17*Annahmen!$C$21,0)))</f>
        <v>-155.00371679408</v>
      </c>
      <c r="I65" s="59" t="n">
        <f aca="false">IF($B65&gt;Annahmen!$C$8,0,IF($B65=0,-(Annahmen!$C$86+Annahmen!$C$41)+Annahmen!$C$77,-Annahmen!$C$6/12/100*Annahmen!$C$89*Annahmen!$C$27*$D65-(Annahmen!$C$92+Annahmen!$C$93+Annahmen!$C$94+Annahmen!$C$95)/12+IF(MOD($B65,12)=0,Annahmen!$C$20,0)+IF($B65=Annahmen!$C$8,Annahmen!$C$91,0)))</f>
        <v>-200.693783799467</v>
      </c>
    </row>
    <row r="66" customFormat="false" ht="15" hidden="false" customHeight="true" outlineLevel="0" collapsed="false">
      <c r="B66" s="53" t="n">
        <v>60</v>
      </c>
      <c r="C66" s="54" t="n">
        <f aca="false">1/(1+Annahmen!$C$10)^$B66</f>
        <v>0.862608784384159</v>
      </c>
      <c r="D66" s="54" t="n">
        <f aca="false">(1+Annahmen!$C$11)^INT(MAX($B66-1,0)/12)</f>
        <v>1.08243216</v>
      </c>
      <c r="E66" s="55" t="n">
        <f aca="false">IF($B66&gt;Annahmen!$C$8,0,IF($B66=0,-(Annahmen!$C$33+Annahmen!$C$41)+Annahmen!$C$77,-Annahmen!$C$6/12/100*Annahmen!$C$36*Annahmen!$C$27*$D66-(Annahmen!$C$39+Annahmen!$C$40+Annahmen!$C$42)/12+IF($B66=Annahmen!$C$19,Annahmen!$C$17,0)+IF(MOD($B66,12)=0,Annahmen!$C$20,0)+IF($B66=Annahmen!$C$8,Annahmen!$C$38,0)))</f>
        <v>144.99628320592</v>
      </c>
      <c r="F66" s="55" t="n">
        <f aca="false">IF($B66&gt;Annahmen!$C$8,0,IF($B66=0,-(Annahmen!$C$49+Annahmen!$C$41)+Annahmen!$C$77,-Annahmen!$C$46*(1+Annahmen!$C$48)^INT(($B66-1)/Annahmen!$C$47)-Annahmen!$C$6/12/100*Annahmen!$C$36*Annahmen!$C$27*$D66-(Annahmen!$C$53+Annahmen!$C$54)/12+IF($B66=Annahmen!$C$19,Annahmen!$C$17,0)+IF(MOD($B66,12)=0,Annahmen!$C$20,0)-IF(MOD($B66,Annahmen!$C$47)=0,Annahmen!$C$52,0)-IF(AND(MOD($B66,Annahmen!$C$47)=0,$B66&lt;Annahmen!$C$8),Annahmen!$C$49*(1+Annahmen!$C$48)^($B66/Annahmen!$C$47),0)))</f>
        <v>-105.95371679408</v>
      </c>
      <c r="G66" s="55" t="n">
        <f aca="false">IF($B66&gt;Annahmen!$C$8,0,IF($B66=0,-Annahmen!$C$57+Annahmen!$C$77,-Annahmen!$C$6/12/100*Annahmen!$C$58*Annahmen!$C$28*$D66-(Annahmen!$C$61+Annahmen!$C$62+Annahmen!$C$63)/12+IF($B66=Annahmen!$C$8,Annahmen!$C$60,0)))</f>
        <v>-248.88645216</v>
      </c>
      <c r="H66" s="55" t="n">
        <f aca="false">IF($B66&gt;Annahmen!$C$8,0,IF($B66=0,-Annahmen!$C$66,IF($B66&lt;=Annahmen!$C$67*12,-Annahmen!$C$6/12/100*Annahmen!$C$72*$D66-(Annahmen!$C$73+Annahmen!$C$74+Annahmen!$C$75)/12+IF($B66=Annahmen!$C$67*12,Annahmen!$C$76-(Annahmen!$C$81+Annahmen!$C$41),0),-Annahmen!$C$6/12/100*Annahmen!$C$36*Annahmen!$C$27*$D66-(Annahmen!$C$39+Annahmen!$C$40+Annahmen!$C$42)/12+IF(MOD($B66,12)=0,Annahmen!$C$20,0)+IF($B66=Annahmen!$C$8,Annahmen!$C$82,0))+IF($B66=Annahmen!$C$67*12+Annahmen!$C$19,Annahmen!$C$17*Annahmen!$C$21,0)))</f>
        <v>144.99628320592</v>
      </c>
      <c r="I66" s="56" t="n">
        <f aca="false">IF($B66&gt;Annahmen!$C$8,0,IF($B66=0,-(Annahmen!$C$86+Annahmen!$C$41)+Annahmen!$C$77,-Annahmen!$C$6/12/100*Annahmen!$C$89*Annahmen!$C$27*$D66-(Annahmen!$C$92+Annahmen!$C$93+Annahmen!$C$94+Annahmen!$C$95)/12+IF(MOD($B66,12)=0,Annahmen!$C$20,0)+IF($B66=Annahmen!$C$8,Annahmen!$C$91,0)))</f>
        <v>99.3062162005334</v>
      </c>
    </row>
    <row r="67" customFormat="false" ht="15" hidden="false" customHeight="true" outlineLevel="0" collapsed="false">
      <c r="B67" s="39" t="n">
        <v>61</v>
      </c>
      <c r="C67" s="57" t="n">
        <f aca="false">1/(1+Annahmen!$C$10)^$B67</f>
        <v>0.860486592312068</v>
      </c>
      <c r="D67" s="57" t="n">
        <f aca="false">(1+Annahmen!$C$11)^INT(MAX($B67-1,0)/12)</f>
        <v>1.1040808032</v>
      </c>
      <c r="E67" s="58" t="n">
        <f aca="false">IF($B67&gt;Annahmen!$C$8,0,IF($B67=0,-(Annahmen!$C$33+Annahmen!$C$41)+Annahmen!$C$77,-Annahmen!$C$6/12/100*Annahmen!$C$36*Annahmen!$C$27*$D67-(Annahmen!$C$39+Annahmen!$C$40+Annahmen!$C$42)/12+IF($B67=Annahmen!$C$19,Annahmen!$C$17,0)+IF(MOD($B67,12)=0,Annahmen!$C$20,0)+IF($B67=Annahmen!$C$8,Annahmen!$C$38,0)))</f>
        <v>-156.353791129962</v>
      </c>
      <c r="F67" s="58" t="n">
        <f aca="false">IF($B67&gt;Annahmen!$C$8,0,IF($B67=0,-(Annahmen!$C$49+Annahmen!$C$41)+Annahmen!$C$77,-Annahmen!$C$46*(1+Annahmen!$C$48)^INT(($B67-1)/Annahmen!$C$47)-Annahmen!$C$6/12/100*Annahmen!$C$36*Annahmen!$C$27*$D67-(Annahmen!$C$53+Annahmen!$C$54)/12+IF($B67=Annahmen!$C$19,Annahmen!$C$17,0)+IF(MOD($B67,12)=0,Annahmen!$C$20,0)-IF(MOD($B67,Annahmen!$C$47)=0,Annahmen!$C$52,0)-IF(AND(MOD($B67,Annahmen!$C$47)=0,$B67&lt;Annahmen!$C$8),Annahmen!$C$49*(1+Annahmen!$C$48)^($B67/Annahmen!$C$47),0)))</f>
        <v>-407.303791129962</v>
      </c>
      <c r="G67" s="58" t="n">
        <f aca="false">IF($B67&gt;Annahmen!$C$8,0,IF($B67=0,-Annahmen!$C$57+Annahmen!$C$77,-Annahmen!$C$6/12/100*Annahmen!$C$58*Annahmen!$C$28*$D67-(Annahmen!$C$61+Annahmen!$C$62+Annahmen!$C$63)/12+IF($B67=Annahmen!$C$8,Annahmen!$C$60,0)))</f>
        <v>-251.6141812032</v>
      </c>
      <c r="H67" s="58" t="n">
        <f aca="false">IF($B67&gt;Annahmen!$C$8,0,IF($B67=0,-Annahmen!$C$66,IF($B67&lt;=Annahmen!$C$67*12,-Annahmen!$C$6/12/100*Annahmen!$C$72*$D67-(Annahmen!$C$73+Annahmen!$C$74+Annahmen!$C$75)/12+IF($B67=Annahmen!$C$67*12,Annahmen!$C$76-(Annahmen!$C$81+Annahmen!$C$41),0),-Annahmen!$C$6/12/100*Annahmen!$C$36*Annahmen!$C$27*$D67-(Annahmen!$C$39+Annahmen!$C$40+Annahmen!$C$42)/12+IF(MOD($B67,12)=0,Annahmen!$C$20,0)+IF($B67=Annahmen!$C$8,Annahmen!$C$82,0))+IF($B67=Annahmen!$C$67*12+Annahmen!$C$19,Annahmen!$C$17*Annahmen!$C$21,0)))</f>
        <v>-156.353791129962</v>
      </c>
      <c r="I67" s="59" t="n">
        <f aca="false">IF($B67&gt;Annahmen!$C$8,0,IF($B67=0,-(Annahmen!$C$86+Annahmen!$C$41)+Annahmen!$C$77,-Annahmen!$C$6/12/100*Annahmen!$C$89*Annahmen!$C$27*$D67-(Annahmen!$C$92+Annahmen!$C$93+Annahmen!$C$94+Annahmen!$C$95)/12+IF(MOD($B67,12)=0,Annahmen!$C$20,0)+IF($B67=Annahmen!$C$8,Annahmen!$C$91,0)))</f>
        <v>-202.124326142123</v>
      </c>
    </row>
    <row r="68" customFormat="false" ht="15" hidden="false" customHeight="true" outlineLevel="0" collapsed="false">
      <c r="B68" s="39" t="n">
        <v>62</v>
      </c>
      <c r="C68" s="57" t="n">
        <f aca="false">1/(1+Annahmen!$C$10)^$B68</f>
        <v>0.858369621261686</v>
      </c>
      <c r="D68" s="57" t="n">
        <f aca="false">(1+Annahmen!$C$11)^INT(MAX($B68-1,0)/12)</f>
        <v>1.1040808032</v>
      </c>
      <c r="E68" s="58" t="n">
        <f aca="false">IF($B68&gt;Annahmen!$C$8,0,IF($B68=0,-(Annahmen!$C$33+Annahmen!$C$41)+Annahmen!$C$77,-Annahmen!$C$6/12/100*Annahmen!$C$36*Annahmen!$C$27*$D68-(Annahmen!$C$39+Annahmen!$C$40+Annahmen!$C$42)/12+IF($B68=Annahmen!$C$19,Annahmen!$C$17,0)+IF(MOD($B68,12)=0,Annahmen!$C$20,0)+IF($B68=Annahmen!$C$8,Annahmen!$C$38,0)))</f>
        <v>-156.353791129962</v>
      </c>
      <c r="F68" s="58" t="n">
        <f aca="false">IF($B68&gt;Annahmen!$C$8,0,IF($B68=0,-(Annahmen!$C$49+Annahmen!$C$41)+Annahmen!$C$77,-Annahmen!$C$46*(1+Annahmen!$C$48)^INT(($B68-1)/Annahmen!$C$47)-Annahmen!$C$6/12/100*Annahmen!$C$36*Annahmen!$C$27*$D68-(Annahmen!$C$53+Annahmen!$C$54)/12+IF($B68=Annahmen!$C$19,Annahmen!$C$17,0)+IF(MOD($B68,12)=0,Annahmen!$C$20,0)-IF(MOD($B68,Annahmen!$C$47)=0,Annahmen!$C$52,0)-IF(AND(MOD($B68,Annahmen!$C$47)=0,$B68&lt;Annahmen!$C$8),Annahmen!$C$49*(1+Annahmen!$C$48)^($B68/Annahmen!$C$47),0)))</f>
        <v>-407.303791129962</v>
      </c>
      <c r="G68" s="58" t="n">
        <f aca="false">IF($B68&gt;Annahmen!$C$8,0,IF($B68=0,-Annahmen!$C$57+Annahmen!$C$77,-Annahmen!$C$6/12/100*Annahmen!$C$58*Annahmen!$C$28*$D68-(Annahmen!$C$61+Annahmen!$C$62+Annahmen!$C$63)/12+IF($B68=Annahmen!$C$8,Annahmen!$C$60,0)))</f>
        <v>-251.6141812032</v>
      </c>
      <c r="H68" s="58" t="n">
        <f aca="false">IF($B68&gt;Annahmen!$C$8,0,IF($B68=0,-Annahmen!$C$66,IF($B68&lt;=Annahmen!$C$67*12,-Annahmen!$C$6/12/100*Annahmen!$C$72*$D68-(Annahmen!$C$73+Annahmen!$C$74+Annahmen!$C$75)/12+IF($B68=Annahmen!$C$67*12,Annahmen!$C$76-(Annahmen!$C$81+Annahmen!$C$41),0),-Annahmen!$C$6/12/100*Annahmen!$C$36*Annahmen!$C$27*$D68-(Annahmen!$C$39+Annahmen!$C$40+Annahmen!$C$42)/12+IF(MOD($B68,12)=0,Annahmen!$C$20,0)+IF($B68=Annahmen!$C$8,Annahmen!$C$82,0))+IF($B68=Annahmen!$C$67*12+Annahmen!$C$19,Annahmen!$C$17*Annahmen!$C$21,0)))</f>
        <v>-156.353791129962</v>
      </c>
      <c r="I68" s="59" t="n">
        <f aca="false">IF($B68&gt;Annahmen!$C$8,0,IF($B68=0,-(Annahmen!$C$86+Annahmen!$C$41)+Annahmen!$C$77,-Annahmen!$C$6/12/100*Annahmen!$C$89*Annahmen!$C$27*$D68-(Annahmen!$C$92+Annahmen!$C$93+Annahmen!$C$94+Annahmen!$C$95)/12+IF(MOD($B68,12)=0,Annahmen!$C$20,0)+IF($B68=Annahmen!$C$8,Annahmen!$C$91,0)))</f>
        <v>-202.124326142123</v>
      </c>
    </row>
    <row r="69" customFormat="false" ht="15" hidden="false" customHeight="true" outlineLevel="0" collapsed="false">
      <c r="B69" s="39" t="n">
        <v>63</v>
      </c>
      <c r="C69" s="57" t="n">
        <f aca="false">1/(1+Annahmen!$C$10)^$B69</f>
        <v>0.856257858388246</v>
      </c>
      <c r="D69" s="57" t="n">
        <f aca="false">(1+Annahmen!$C$11)^INT(MAX($B69-1,0)/12)</f>
        <v>1.1040808032</v>
      </c>
      <c r="E69" s="58" t="n">
        <f aca="false">IF($B69&gt;Annahmen!$C$8,0,IF($B69=0,-(Annahmen!$C$33+Annahmen!$C$41)+Annahmen!$C$77,-Annahmen!$C$6/12/100*Annahmen!$C$36*Annahmen!$C$27*$D69-(Annahmen!$C$39+Annahmen!$C$40+Annahmen!$C$42)/12+IF($B69=Annahmen!$C$19,Annahmen!$C$17,0)+IF(MOD($B69,12)=0,Annahmen!$C$20,0)+IF($B69=Annahmen!$C$8,Annahmen!$C$38,0)))</f>
        <v>-156.353791129962</v>
      </c>
      <c r="F69" s="58" t="n">
        <f aca="false">IF($B69&gt;Annahmen!$C$8,0,IF($B69=0,-(Annahmen!$C$49+Annahmen!$C$41)+Annahmen!$C$77,-Annahmen!$C$46*(1+Annahmen!$C$48)^INT(($B69-1)/Annahmen!$C$47)-Annahmen!$C$6/12/100*Annahmen!$C$36*Annahmen!$C$27*$D69-(Annahmen!$C$53+Annahmen!$C$54)/12+IF($B69=Annahmen!$C$19,Annahmen!$C$17,0)+IF(MOD($B69,12)=0,Annahmen!$C$20,0)-IF(MOD($B69,Annahmen!$C$47)=0,Annahmen!$C$52,0)-IF(AND(MOD($B69,Annahmen!$C$47)=0,$B69&lt;Annahmen!$C$8),Annahmen!$C$49*(1+Annahmen!$C$48)^($B69/Annahmen!$C$47),0)))</f>
        <v>-407.303791129962</v>
      </c>
      <c r="G69" s="58" t="n">
        <f aca="false">IF($B69&gt;Annahmen!$C$8,0,IF($B69=0,-Annahmen!$C$57+Annahmen!$C$77,-Annahmen!$C$6/12/100*Annahmen!$C$58*Annahmen!$C$28*$D69-(Annahmen!$C$61+Annahmen!$C$62+Annahmen!$C$63)/12+IF($B69=Annahmen!$C$8,Annahmen!$C$60,0)))</f>
        <v>-251.6141812032</v>
      </c>
      <c r="H69" s="58" t="n">
        <f aca="false">IF($B69&gt;Annahmen!$C$8,0,IF($B69=0,-Annahmen!$C$66,IF($B69&lt;=Annahmen!$C$67*12,-Annahmen!$C$6/12/100*Annahmen!$C$72*$D69-(Annahmen!$C$73+Annahmen!$C$74+Annahmen!$C$75)/12+IF($B69=Annahmen!$C$67*12,Annahmen!$C$76-(Annahmen!$C$81+Annahmen!$C$41),0),-Annahmen!$C$6/12/100*Annahmen!$C$36*Annahmen!$C$27*$D69-(Annahmen!$C$39+Annahmen!$C$40+Annahmen!$C$42)/12+IF(MOD($B69,12)=0,Annahmen!$C$20,0)+IF($B69=Annahmen!$C$8,Annahmen!$C$82,0))+IF($B69=Annahmen!$C$67*12+Annahmen!$C$19,Annahmen!$C$17*Annahmen!$C$21,0)))</f>
        <v>-156.353791129962</v>
      </c>
      <c r="I69" s="59" t="n">
        <f aca="false">IF($B69&gt;Annahmen!$C$8,0,IF($B69=0,-(Annahmen!$C$86+Annahmen!$C$41)+Annahmen!$C$77,-Annahmen!$C$6/12/100*Annahmen!$C$89*Annahmen!$C$27*$D69-(Annahmen!$C$92+Annahmen!$C$93+Annahmen!$C$94+Annahmen!$C$95)/12+IF(MOD($B69,12)=0,Annahmen!$C$20,0)+IF($B69=Annahmen!$C$8,Annahmen!$C$91,0)))</f>
        <v>-202.124326142123</v>
      </c>
    </row>
    <row r="70" customFormat="false" ht="15" hidden="false" customHeight="true" outlineLevel="0" collapsed="false">
      <c r="B70" s="39" t="n">
        <v>64</v>
      </c>
      <c r="C70" s="57" t="n">
        <f aca="false">1/(1+Annahmen!$C$10)^$B70</f>
        <v>0.854151290878578</v>
      </c>
      <c r="D70" s="57" t="n">
        <f aca="false">(1+Annahmen!$C$11)^INT(MAX($B70-1,0)/12)</f>
        <v>1.1040808032</v>
      </c>
      <c r="E70" s="58" t="n">
        <f aca="false">IF($B70&gt;Annahmen!$C$8,0,IF($B70=0,-(Annahmen!$C$33+Annahmen!$C$41)+Annahmen!$C$77,-Annahmen!$C$6/12/100*Annahmen!$C$36*Annahmen!$C$27*$D70-(Annahmen!$C$39+Annahmen!$C$40+Annahmen!$C$42)/12+IF($B70=Annahmen!$C$19,Annahmen!$C$17,0)+IF(MOD($B70,12)=0,Annahmen!$C$20,0)+IF($B70=Annahmen!$C$8,Annahmen!$C$38,0)))</f>
        <v>-156.353791129962</v>
      </c>
      <c r="F70" s="58" t="n">
        <f aca="false">IF($B70&gt;Annahmen!$C$8,0,IF($B70=0,-(Annahmen!$C$49+Annahmen!$C$41)+Annahmen!$C$77,-Annahmen!$C$46*(1+Annahmen!$C$48)^INT(($B70-1)/Annahmen!$C$47)-Annahmen!$C$6/12/100*Annahmen!$C$36*Annahmen!$C$27*$D70-(Annahmen!$C$53+Annahmen!$C$54)/12+IF($B70=Annahmen!$C$19,Annahmen!$C$17,0)+IF(MOD($B70,12)=0,Annahmen!$C$20,0)-IF(MOD($B70,Annahmen!$C$47)=0,Annahmen!$C$52,0)-IF(AND(MOD($B70,Annahmen!$C$47)=0,$B70&lt;Annahmen!$C$8),Annahmen!$C$49*(1+Annahmen!$C$48)^($B70/Annahmen!$C$47),0)))</f>
        <v>-407.303791129962</v>
      </c>
      <c r="G70" s="58" t="n">
        <f aca="false">IF($B70&gt;Annahmen!$C$8,0,IF($B70=0,-Annahmen!$C$57+Annahmen!$C$77,-Annahmen!$C$6/12/100*Annahmen!$C$58*Annahmen!$C$28*$D70-(Annahmen!$C$61+Annahmen!$C$62+Annahmen!$C$63)/12+IF($B70=Annahmen!$C$8,Annahmen!$C$60,0)))</f>
        <v>-251.6141812032</v>
      </c>
      <c r="H70" s="58" t="n">
        <f aca="false">IF($B70&gt;Annahmen!$C$8,0,IF($B70=0,-Annahmen!$C$66,IF($B70&lt;=Annahmen!$C$67*12,-Annahmen!$C$6/12/100*Annahmen!$C$72*$D70-(Annahmen!$C$73+Annahmen!$C$74+Annahmen!$C$75)/12+IF($B70=Annahmen!$C$67*12,Annahmen!$C$76-(Annahmen!$C$81+Annahmen!$C$41),0),-Annahmen!$C$6/12/100*Annahmen!$C$36*Annahmen!$C$27*$D70-(Annahmen!$C$39+Annahmen!$C$40+Annahmen!$C$42)/12+IF(MOD($B70,12)=0,Annahmen!$C$20,0)+IF($B70=Annahmen!$C$8,Annahmen!$C$82,0))+IF($B70=Annahmen!$C$67*12+Annahmen!$C$19,Annahmen!$C$17*Annahmen!$C$21,0)))</f>
        <v>-156.353791129962</v>
      </c>
      <c r="I70" s="59" t="n">
        <f aca="false">IF($B70&gt;Annahmen!$C$8,0,IF($B70=0,-(Annahmen!$C$86+Annahmen!$C$41)+Annahmen!$C$77,-Annahmen!$C$6/12/100*Annahmen!$C$89*Annahmen!$C$27*$D70-(Annahmen!$C$92+Annahmen!$C$93+Annahmen!$C$94+Annahmen!$C$95)/12+IF(MOD($B70,12)=0,Annahmen!$C$20,0)+IF($B70=Annahmen!$C$8,Annahmen!$C$91,0)))</f>
        <v>-202.124326142123</v>
      </c>
    </row>
    <row r="71" customFormat="false" ht="15" hidden="false" customHeight="true" outlineLevel="0" collapsed="false">
      <c r="B71" s="39" t="n">
        <v>65</v>
      </c>
      <c r="C71" s="57" t="n">
        <f aca="false">1/(1+Annahmen!$C$10)^$B71</f>
        <v>0.852049905951037</v>
      </c>
      <c r="D71" s="57" t="n">
        <f aca="false">(1+Annahmen!$C$11)^INT(MAX($B71-1,0)/12)</f>
        <v>1.1040808032</v>
      </c>
      <c r="E71" s="58" t="n">
        <f aca="false">IF($B71&gt;Annahmen!$C$8,0,IF($B71=0,-(Annahmen!$C$33+Annahmen!$C$41)+Annahmen!$C$77,-Annahmen!$C$6/12/100*Annahmen!$C$36*Annahmen!$C$27*$D71-(Annahmen!$C$39+Annahmen!$C$40+Annahmen!$C$42)/12+IF($B71=Annahmen!$C$19,Annahmen!$C$17,0)+IF(MOD($B71,12)=0,Annahmen!$C$20,0)+IF($B71=Annahmen!$C$8,Annahmen!$C$38,0)))</f>
        <v>-156.353791129962</v>
      </c>
      <c r="F71" s="58" t="n">
        <f aca="false">IF($B71&gt;Annahmen!$C$8,0,IF($B71=0,-(Annahmen!$C$49+Annahmen!$C$41)+Annahmen!$C$77,-Annahmen!$C$46*(1+Annahmen!$C$48)^INT(($B71-1)/Annahmen!$C$47)-Annahmen!$C$6/12/100*Annahmen!$C$36*Annahmen!$C$27*$D71-(Annahmen!$C$53+Annahmen!$C$54)/12+IF($B71=Annahmen!$C$19,Annahmen!$C$17,0)+IF(MOD($B71,12)=0,Annahmen!$C$20,0)-IF(MOD($B71,Annahmen!$C$47)=0,Annahmen!$C$52,0)-IF(AND(MOD($B71,Annahmen!$C$47)=0,$B71&lt;Annahmen!$C$8),Annahmen!$C$49*(1+Annahmen!$C$48)^($B71/Annahmen!$C$47),0)))</f>
        <v>-407.303791129962</v>
      </c>
      <c r="G71" s="58" t="n">
        <f aca="false">IF($B71&gt;Annahmen!$C$8,0,IF($B71=0,-Annahmen!$C$57+Annahmen!$C$77,-Annahmen!$C$6/12/100*Annahmen!$C$58*Annahmen!$C$28*$D71-(Annahmen!$C$61+Annahmen!$C$62+Annahmen!$C$63)/12+IF($B71=Annahmen!$C$8,Annahmen!$C$60,0)))</f>
        <v>-251.6141812032</v>
      </c>
      <c r="H71" s="58" t="n">
        <f aca="false">IF($B71&gt;Annahmen!$C$8,0,IF($B71=0,-Annahmen!$C$66,IF($B71&lt;=Annahmen!$C$67*12,-Annahmen!$C$6/12/100*Annahmen!$C$72*$D71-(Annahmen!$C$73+Annahmen!$C$74+Annahmen!$C$75)/12+IF($B71=Annahmen!$C$67*12,Annahmen!$C$76-(Annahmen!$C$81+Annahmen!$C$41),0),-Annahmen!$C$6/12/100*Annahmen!$C$36*Annahmen!$C$27*$D71-(Annahmen!$C$39+Annahmen!$C$40+Annahmen!$C$42)/12+IF(MOD($B71,12)=0,Annahmen!$C$20,0)+IF($B71=Annahmen!$C$8,Annahmen!$C$82,0))+IF($B71=Annahmen!$C$67*12+Annahmen!$C$19,Annahmen!$C$17*Annahmen!$C$21,0)))</f>
        <v>-156.353791129962</v>
      </c>
      <c r="I71" s="59" t="n">
        <f aca="false">IF($B71&gt;Annahmen!$C$8,0,IF($B71=0,-(Annahmen!$C$86+Annahmen!$C$41)+Annahmen!$C$77,-Annahmen!$C$6/12/100*Annahmen!$C$89*Annahmen!$C$27*$D71-(Annahmen!$C$92+Annahmen!$C$93+Annahmen!$C$94+Annahmen!$C$95)/12+IF(MOD($B71,12)=0,Annahmen!$C$20,0)+IF($B71=Annahmen!$C$8,Annahmen!$C$91,0)))</f>
        <v>-202.124326142123</v>
      </c>
    </row>
    <row r="72" customFormat="false" ht="15" hidden="false" customHeight="true" outlineLevel="0" collapsed="false">
      <c r="B72" s="39" t="n">
        <v>66</v>
      </c>
      <c r="C72" s="57" t="n">
        <f aca="false">1/(1+Annahmen!$C$10)^$B72</f>
        <v>0.849953690855422</v>
      </c>
      <c r="D72" s="57" t="n">
        <f aca="false">(1+Annahmen!$C$11)^INT(MAX($B72-1,0)/12)</f>
        <v>1.1040808032</v>
      </c>
      <c r="E72" s="58" t="n">
        <f aca="false">IF($B72&gt;Annahmen!$C$8,0,IF($B72=0,-(Annahmen!$C$33+Annahmen!$C$41)+Annahmen!$C$77,-Annahmen!$C$6/12/100*Annahmen!$C$36*Annahmen!$C$27*$D72-(Annahmen!$C$39+Annahmen!$C$40+Annahmen!$C$42)/12+IF($B72=Annahmen!$C$19,Annahmen!$C$17,0)+IF(MOD($B72,12)=0,Annahmen!$C$20,0)+IF($B72=Annahmen!$C$8,Annahmen!$C$38,0)))</f>
        <v>-156.353791129962</v>
      </c>
      <c r="F72" s="58" t="n">
        <f aca="false">IF($B72&gt;Annahmen!$C$8,0,IF($B72=0,-(Annahmen!$C$49+Annahmen!$C$41)+Annahmen!$C$77,-Annahmen!$C$46*(1+Annahmen!$C$48)^INT(($B72-1)/Annahmen!$C$47)-Annahmen!$C$6/12/100*Annahmen!$C$36*Annahmen!$C$27*$D72-(Annahmen!$C$53+Annahmen!$C$54)/12+IF($B72=Annahmen!$C$19,Annahmen!$C$17,0)+IF(MOD($B72,12)=0,Annahmen!$C$20,0)-IF(MOD($B72,Annahmen!$C$47)=0,Annahmen!$C$52,0)-IF(AND(MOD($B72,Annahmen!$C$47)=0,$B72&lt;Annahmen!$C$8),Annahmen!$C$49*(1+Annahmen!$C$48)^($B72/Annahmen!$C$47),0)))</f>
        <v>-407.303791129962</v>
      </c>
      <c r="G72" s="58" t="n">
        <f aca="false">IF($B72&gt;Annahmen!$C$8,0,IF($B72=0,-Annahmen!$C$57+Annahmen!$C$77,-Annahmen!$C$6/12/100*Annahmen!$C$58*Annahmen!$C$28*$D72-(Annahmen!$C$61+Annahmen!$C$62+Annahmen!$C$63)/12+IF($B72=Annahmen!$C$8,Annahmen!$C$60,0)))</f>
        <v>-251.6141812032</v>
      </c>
      <c r="H72" s="58" t="n">
        <f aca="false">IF($B72&gt;Annahmen!$C$8,0,IF($B72=0,-Annahmen!$C$66,IF($B72&lt;=Annahmen!$C$67*12,-Annahmen!$C$6/12/100*Annahmen!$C$72*$D72-(Annahmen!$C$73+Annahmen!$C$74+Annahmen!$C$75)/12+IF($B72=Annahmen!$C$67*12,Annahmen!$C$76-(Annahmen!$C$81+Annahmen!$C$41),0),-Annahmen!$C$6/12/100*Annahmen!$C$36*Annahmen!$C$27*$D72-(Annahmen!$C$39+Annahmen!$C$40+Annahmen!$C$42)/12+IF(MOD($B72,12)=0,Annahmen!$C$20,0)+IF($B72=Annahmen!$C$8,Annahmen!$C$82,0))+IF($B72=Annahmen!$C$67*12+Annahmen!$C$19,Annahmen!$C$17*Annahmen!$C$21,0)))</f>
        <v>-156.353791129962</v>
      </c>
      <c r="I72" s="59" t="n">
        <f aca="false">IF($B72&gt;Annahmen!$C$8,0,IF($B72=0,-(Annahmen!$C$86+Annahmen!$C$41)+Annahmen!$C$77,-Annahmen!$C$6/12/100*Annahmen!$C$89*Annahmen!$C$27*$D72-(Annahmen!$C$92+Annahmen!$C$93+Annahmen!$C$94+Annahmen!$C$95)/12+IF(MOD($B72,12)=0,Annahmen!$C$20,0)+IF($B72=Annahmen!$C$8,Annahmen!$C$91,0)))</f>
        <v>-202.124326142123</v>
      </c>
    </row>
    <row r="73" customFormat="false" ht="15" hidden="false" customHeight="true" outlineLevel="0" collapsed="false">
      <c r="B73" s="39" t="n">
        <v>67</v>
      </c>
      <c r="C73" s="57" t="n">
        <f aca="false">1/(1+Annahmen!$C$10)^$B73</f>
        <v>0.847862632872902</v>
      </c>
      <c r="D73" s="57" t="n">
        <f aca="false">(1+Annahmen!$C$11)^INT(MAX($B73-1,0)/12)</f>
        <v>1.1040808032</v>
      </c>
      <c r="E73" s="58" t="n">
        <f aca="false">IF($B73&gt;Annahmen!$C$8,0,IF($B73=0,-(Annahmen!$C$33+Annahmen!$C$41)+Annahmen!$C$77,-Annahmen!$C$6/12/100*Annahmen!$C$36*Annahmen!$C$27*$D73-(Annahmen!$C$39+Annahmen!$C$40+Annahmen!$C$42)/12+IF($B73=Annahmen!$C$19,Annahmen!$C$17,0)+IF(MOD($B73,12)=0,Annahmen!$C$20,0)+IF($B73=Annahmen!$C$8,Annahmen!$C$38,0)))</f>
        <v>-156.353791129962</v>
      </c>
      <c r="F73" s="58" t="n">
        <f aca="false">IF($B73&gt;Annahmen!$C$8,0,IF($B73=0,-(Annahmen!$C$49+Annahmen!$C$41)+Annahmen!$C$77,-Annahmen!$C$46*(1+Annahmen!$C$48)^INT(($B73-1)/Annahmen!$C$47)-Annahmen!$C$6/12/100*Annahmen!$C$36*Annahmen!$C$27*$D73-(Annahmen!$C$53+Annahmen!$C$54)/12+IF($B73=Annahmen!$C$19,Annahmen!$C$17,0)+IF(MOD($B73,12)=0,Annahmen!$C$20,0)-IF(MOD($B73,Annahmen!$C$47)=0,Annahmen!$C$52,0)-IF(AND(MOD($B73,Annahmen!$C$47)=0,$B73&lt;Annahmen!$C$8),Annahmen!$C$49*(1+Annahmen!$C$48)^($B73/Annahmen!$C$47),0)))</f>
        <v>-407.303791129962</v>
      </c>
      <c r="G73" s="58" t="n">
        <f aca="false">IF($B73&gt;Annahmen!$C$8,0,IF($B73=0,-Annahmen!$C$57+Annahmen!$C$77,-Annahmen!$C$6/12/100*Annahmen!$C$58*Annahmen!$C$28*$D73-(Annahmen!$C$61+Annahmen!$C$62+Annahmen!$C$63)/12+IF($B73=Annahmen!$C$8,Annahmen!$C$60,0)))</f>
        <v>-251.6141812032</v>
      </c>
      <c r="H73" s="58" t="n">
        <f aca="false">IF($B73&gt;Annahmen!$C$8,0,IF($B73=0,-Annahmen!$C$66,IF($B73&lt;=Annahmen!$C$67*12,-Annahmen!$C$6/12/100*Annahmen!$C$72*$D73-(Annahmen!$C$73+Annahmen!$C$74+Annahmen!$C$75)/12+IF($B73=Annahmen!$C$67*12,Annahmen!$C$76-(Annahmen!$C$81+Annahmen!$C$41),0),-Annahmen!$C$6/12/100*Annahmen!$C$36*Annahmen!$C$27*$D73-(Annahmen!$C$39+Annahmen!$C$40+Annahmen!$C$42)/12+IF(MOD($B73,12)=0,Annahmen!$C$20,0)+IF($B73=Annahmen!$C$8,Annahmen!$C$82,0))+IF($B73=Annahmen!$C$67*12+Annahmen!$C$19,Annahmen!$C$17*Annahmen!$C$21,0)))</f>
        <v>-156.353791129962</v>
      </c>
      <c r="I73" s="59" t="n">
        <f aca="false">IF($B73&gt;Annahmen!$C$8,0,IF($B73=0,-(Annahmen!$C$86+Annahmen!$C$41)+Annahmen!$C$77,-Annahmen!$C$6/12/100*Annahmen!$C$89*Annahmen!$C$27*$D73-(Annahmen!$C$92+Annahmen!$C$93+Annahmen!$C$94+Annahmen!$C$95)/12+IF(MOD($B73,12)=0,Annahmen!$C$20,0)+IF($B73=Annahmen!$C$8,Annahmen!$C$91,0)))</f>
        <v>-202.124326142123</v>
      </c>
    </row>
    <row r="74" customFormat="false" ht="15" hidden="false" customHeight="true" outlineLevel="0" collapsed="false">
      <c r="B74" s="39" t="n">
        <v>68</v>
      </c>
      <c r="C74" s="57" t="n">
        <f aca="false">1/(1+Annahmen!$C$10)^$B74</f>
        <v>0.845776719315935</v>
      </c>
      <c r="D74" s="57" t="n">
        <f aca="false">(1+Annahmen!$C$11)^INT(MAX($B74-1,0)/12)</f>
        <v>1.1040808032</v>
      </c>
      <c r="E74" s="58" t="n">
        <f aca="false">IF($B74&gt;Annahmen!$C$8,0,IF($B74=0,-(Annahmen!$C$33+Annahmen!$C$41)+Annahmen!$C$77,-Annahmen!$C$6/12/100*Annahmen!$C$36*Annahmen!$C$27*$D74-(Annahmen!$C$39+Annahmen!$C$40+Annahmen!$C$42)/12+IF($B74=Annahmen!$C$19,Annahmen!$C$17,0)+IF(MOD($B74,12)=0,Annahmen!$C$20,0)+IF($B74=Annahmen!$C$8,Annahmen!$C$38,0)))</f>
        <v>-156.353791129962</v>
      </c>
      <c r="F74" s="58" t="n">
        <f aca="false">IF($B74&gt;Annahmen!$C$8,0,IF($B74=0,-(Annahmen!$C$49+Annahmen!$C$41)+Annahmen!$C$77,-Annahmen!$C$46*(1+Annahmen!$C$48)^INT(($B74-1)/Annahmen!$C$47)-Annahmen!$C$6/12/100*Annahmen!$C$36*Annahmen!$C$27*$D74-(Annahmen!$C$53+Annahmen!$C$54)/12+IF($B74=Annahmen!$C$19,Annahmen!$C$17,0)+IF(MOD($B74,12)=0,Annahmen!$C$20,0)-IF(MOD($B74,Annahmen!$C$47)=0,Annahmen!$C$52,0)-IF(AND(MOD($B74,Annahmen!$C$47)=0,$B74&lt;Annahmen!$C$8),Annahmen!$C$49*(1+Annahmen!$C$48)^($B74/Annahmen!$C$47),0)))</f>
        <v>-407.303791129962</v>
      </c>
      <c r="G74" s="58" t="n">
        <f aca="false">IF($B74&gt;Annahmen!$C$8,0,IF($B74=0,-Annahmen!$C$57+Annahmen!$C$77,-Annahmen!$C$6/12/100*Annahmen!$C$58*Annahmen!$C$28*$D74-(Annahmen!$C$61+Annahmen!$C$62+Annahmen!$C$63)/12+IF($B74=Annahmen!$C$8,Annahmen!$C$60,0)))</f>
        <v>-251.6141812032</v>
      </c>
      <c r="H74" s="58" t="n">
        <f aca="false">IF($B74&gt;Annahmen!$C$8,0,IF($B74=0,-Annahmen!$C$66,IF($B74&lt;=Annahmen!$C$67*12,-Annahmen!$C$6/12/100*Annahmen!$C$72*$D74-(Annahmen!$C$73+Annahmen!$C$74+Annahmen!$C$75)/12+IF($B74=Annahmen!$C$67*12,Annahmen!$C$76-(Annahmen!$C$81+Annahmen!$C$41),0),-Annahmen!$C$6/12/100*Annahmen!$C$36*Annahmen!$C$27*$D74-(Annahmen!$C$39+Annahmen!$C$40+Annahmen!$C$42)/12+IF(MOD($B74,12)=0,Annahmen!$C$20,0)+IF($B74=Annahmen!$C$8,Annahmen!$C$82,0))+IF($B74=Annahmen!$C$67*12+Annahmen!$C$19,Annahmen!$C$17*Annahmen!$C$21,0)))</f>
        <v>-156.353791129962</v>
      </c>
      <c r="I74" s="59" t="n">
        <f aca="false">IF($B74&gt;Annahmen!$C$8,0,IF($B74=0,-(Annahmen!$C$86+Annahmen!$C$41)+Annahmen!$C$77,-Annahmen!$C$6/12/100*Annahmen!$C$89*Annahmen!$C$27*$D74-(Annahmen!$C$92+Annahmen!$C$93+Annahmen!$C$94+Annahmen!$C$95)/12+IF(MOD($B74,12)=0,Annahmen!$C$20,0)+IF($B74=Annahmen!$C$8,Annahmen!$C$91,0)))</f>
        <v>-202.124326142123</v>
      </c>
    </row>
    <row r="75" customFormat="false" ht="15" hidden="false" customHeight="true" outlineLevel="0" collapsed="false">
      <c r="B75" s="39" t="n">
        <v>69</v>
      </c>
      <c r="C75" s="57" t="n">
        <f aca="false">1/(1+Annahmen!$C$10)^$B75</f>
        <v>0.843695937528193</v>
      </c>
      <c r="D75" s="57" t="n">
        <f aca="false">(1+Annahmen!$C$11)^INT(MAX($B75-1,0)/12)</f>
        <v>1.1040808032</v>
      </c>
      <c r="E75" s="58" t="n">
        <f aca="false">IF($B75&gt;Annahmen!$C$8,0,IF($B75=0,-(Annahmen!$C$33+Annahmen!$C$41)+Annahmen!$C$77,-Annahmen!$C$6/12/100*Annahmen!$C$36*Annahmen!$C$27*$D75-(Annahmen!$C$39+Annahmen!$C$40+Annahmen!$C$42)/12+IF($B75=Annahmen!$C$19,Annahmen!$C$17,0)+IF(MOD($B75,12)=0,Annahmen!$C$20,0)+IF($B75=Annahmen!$C$8,Annahmen!$C$38,0)))</f>
        <v>-156.353791129962</v>
      </c>
      <c r="F75" s="58" t="n">
        <f aca="false">IF($B75&gt;Annahmen!$C$8,0,IF($B75=0,-(Annahmen!$C$49+Annahmen!$C$41)+Annahmen!$C$77,-Annahmen!$C$46*(1+Annahmen!$C$48)^INT(($B75-1)/Annahmen!$C$47)-Annahmen!$C$6/12/100*Annahmen!$C$36*Annahmen!$C$27*$D75-(Annahmen!$C$53+Annahmen!$C$54)/12+IF($B75=Annahmen!$C$19,Annahmen!$C$17,0)+IF(MOD($B75,12)=0,Annahmen!$C$20,0)-IF(MOD($B75,Annahmen!$C$47)=0,Annahmen!$C$52,0)-IF(AND(MOD($B75,Annahmen!$C$47)=0,$B75&lt;Annahmen!$C$8),Annahmen!$C$49*(1+Annahmen!$C$48)^($B75/Annahmen!$C$47),0)))</f>
        <v>-407.303791129962</v>
      </c>
      <c r="G75" s="58" t="n">
        <f aca="false">IF($B75&gt;Annahmen!$C$8,0,IF($B75=0,-Annahmen!$C$57+Annahmen!$C$77,-Annahmen!$C$6/12/100*Annahmen!$C$58*Annahmen!$C$28*$D75-(Annahmen!$C$61+Annahmen!$C$62+Annahmen!$C$63)/12+IF($B75=Annahmen!$C$8,Annahmen!$C$60,0)))</f>
        <v>-251.6141812032</v>
      </c>
      <c r="H75" s="58" t="n">
        <f aca="false">IF($B75&gt;Annahmen!$C$8,0,IF($B75=0,-Annahmen!$C$66,IF($B75&lt;=Annahmen!$C$67*12,-Annahmen!$C$6/12/100*Annahmen!$C$72*$D75-(Annahmen!$C$73+Annahmen!$C$74+Annahmen!$C$75)/12+IF($B75=Annahmen!$C$67*12,Annahmen!$C$76-(Annahmen!$C$81+Annahmen!$C$41),0),-Annahmen!$C$6/12/100*Annahmen!$C$36*Annahmen!$C$27*$D75-(Annahmen!$C$39+Annahmen!$C$40+Annahmen!$C$42)/12+IF(MOD($B75,12)=0,Annahmen!$C$20,0)+IF($B75=Annahmen!$C$8,Annahmen!$C$82,0))+IF($B75=Annahmen!$C$67*12+Annahmen!$C$19,Annahmen!$C$17*Annahmen!$C$21,0)))</f>
        <v>-156.353791129962</v>
      </c>
      <c r="I75" s="59" t="n">
        <f aca="false">IF($B75&gt;Annahmen!$C$8,0,IF($B75=0,-(Annahmen!$C$86+Annahmen!$C$41)+Annahmen!$C$77,-Annahmen!$C$6/12/100*Annahmen!$C$89*Annahmen!$C$27*$D75-(Annahmen!$C$92+Annahmen!$C$93+Annahmen!$C$94+Annahmen!$C$95)/12+IF(MOD($B75,12)=0,Annahmen!$C$20,0)+IF($B75=Annahmen!$C$8,Annahmen!$C$91,0)))</f>
        <v>-202.124326142123</v>
      </c>
    </row>
    <row r="76" customFormat="false" ht="15" hidden="false" customHeight="true" outlineLevel="0" collapsed="false">
      <c r="B76" s="39" t="n">
        <v>70</v>
      </c>
      <c r="C76" s="57" t="n">
        <f aca="false">1/(1+Annahmen!$C$10)^$B76</f>
        <v>0.841620274884488</v>
      </c>
      <c r="D76" s="57" t="n">
        <f aca="false">(1+Annahmen!$C$11)^INT(MAX($B76-1,0)/12)</f>
        <v>1.1040808032</v>
      </c>
      <c r="E76" s="58" t="n">
        <f aca="false">IF($B76&gt;Annahmen!$C$8,0,IF($B76=0,-(Annahmen!$C$33+Annahmen!$C$41)+Annahmen!$C$77,-Annahmen!$C$6/12/100*Annahmen!$C$36*Annahmen!$C$27*$D76-(Annahmen!$C$39+Annahmen!$C$40+Annahmen!$C$42)/12+IF($B76=Annahmen!$C$19,Annahmen!$C$17,0)+IF(MOD($B76,12)=0,Annahmen!$C$20,0)+IF($B76=Annahmen!$C$8,Annahmen!$C$38,0)))</f>
        <v>-156.353791129962</v>
      </c>
      <c r="F76" s="58" t="n">
        <f aca="false">IF($B76&gt;Annahmen!$C$8,0,IF($B76=0,-(Annahmen!$C$49+Annahmen!$C$41)+Annahmen!$C$77,-Annahmen!$C$46*(1+Annahmen!$C$48)^INT(($B76-1)/Annahmen!$C$47)-Annahmen!$C$6/12/100*Annahmen!$C$36*Annahmen!$C$27*$D76-(Annahmen!$C$53+Annahmen!$C$54)/12+IF($B76=Annahmen!$C$19,Annahmen!$C$17,0)+IF(MOD($B76,12)=0,Annahmen!$C$20,0)-IF(MOD($B76,Annahmen!$C$47)=0,Annahmen!$C$52,0)-IF(AND(MOD($B76,Annahmen!$C$47)=0,$B76&lt;Annahmen!$C$8),Annahmen!$C$49*(1+Annahmen!$C$48)^($B76/Annahmen!$C$47),0)))</f>
        <v>-407.303791129962</v>
      </c>
      <c r="G76" s="58" t="n">
        <f aca="false">IF($B76&gt;Annahmen!$C$8,0,IF($B76=0,-Annahmen!$C$57+Annahmen!$C$77,-Annahmen!$C$6/12/100*Annahmen!$C$58*Annahmen!$C$28*$D76-(Annahmen!$C$61+Annahmen!$C$62+Annahmen!$C$63)/12+IF($B76=Annahmen!$C$8,Annahmen!$C$60,0)))</f>
        <v>-251.6141812032</v>
      </c>
      <c r="H76" s="58" t="n">
        <f aca="false">IF($B76&gt;Annahmen!$C$8,0,IF($B76=0,-Annahmen!$C$66,IF($B76&lt;=Annahmen!$C$67*12,-Annahmen!$C$6/12/100*Annahmen!$C$72*$D76-(Annahmen!$C$73+Annahmen!$C$74+Annahmen!$C$75)/12+IF($B76=Annahmen!$C$67*12,Annahmen!$C$76-(Annahmen!$C$81+Annahmen!$C$41),0),-Annahmen!$C$6/12/100*Annahmen!$C$36*Annahmen!$C$27*$D76-(Annahmen!$C$39+Annahmen!$C$40+Annahmen!$C$42)/12+IF(MOD($B76,12)=0,Annahmen!$C$20,0)+IF($B76=Annahmen!$C$8,Annahmen!$C$82,0))+IF($B76=Annahmen!$C$67*12+Annahmen!$C$19,Annahmen!$C$17*Annahmen!$C$21,0)))</f>
        <v>-156.353791129962</v>
      </c>
      <c r="I76" s="59" t="n">
        <f aca="false">IF($B76&gt;Annahmen!$C$8,0,IF($B76=0,-(Annahmen!$C$86+Annahmen!$C$41)+Annahmen!$C$77,-Annahmen!$C$6/12/100*Annahmen!$C$89*Annahmen!$C$27*$D76-(Annahmen!$C$92+Annahmen!$C$93+Annahmen!$C$94+Annahmen!$C$95)/12+IF(MOD($B76,12)=0,Annahmen!$C$20,0)+IF($B76=Annahmen!$C$8,Annahmen!$C$91,0)))</f>
        <v>-202.124326142123</v>
      </c>
    </row>
    <row r="77" customFormat="false" ht="15" hidden="false" customHeight="true" outlineLevel="0" collapsed="false">
      <c r="B77" s="39" t="n">
        <v>71</v>
      </c>
      <c r="C77" s="57" t="n">
        <f aca="false">1/(1+Annahmen!$C$10)^$B77</f>
        <v>0.839549718790688</v>
      </c>
      <c r="D77" s="57" t="n">
        <f aca="false">(1+Annahmen!$C$11)^INT(MAX($B77-1,0)/12)</f>
        <v>1.1040808032</v>
      </c>
      <c r="E77" s="58" t="n">
        <f aca="false">IF($B77&gt;Annahmen!$C$8,0,IF($B77=0,-(Annahmen!$C$33+Annahmen!$C$41)+Annahmen!$C$77,-Annahmen!$C$6/12/100*Annahmen!$C$36*Annahmen!$C$27*$D77-(Annahmen!$C$39+Annahmen!$C$40+Annahmen!$C$42)/12+IF($B77=Annahmen!$C$19,Annahmen!$C$17,0)+IF(MOD($B77,12)=0,Annahmen!$C$20,0)+IF($B77=Annahmen!$C$8,Annahmen!$C$38,0)))</f>
        <v>-156.353791129962</v>
      </c>
      <c r="F77" s="58" t="n">
        <f aca="false">IF($B77&gt;Annahmen!$C$8,0,IF($B77=0,-(Annahmen!$C$49+Annahmen!$C$41)+Annahmen!$C$77,-Annahmen!$C$46*(1+Annahmen!$C$48)^INT(($B77-1)/Annahmen!$C$47)-Annahmen!$C$6/12/100*Annahmen!$C$36*Annahmen!$C$27*$D77-(Annahmen!$C$53+Annahmen!$C$54)/12+IF($B77=Annahmen!$C$19,Annahmen!$C$17,0)+IF(MOD($B77,12)=0,Annahmen!$C$20,0)-IF(MOD($B77,Annahmen!$C$47)=0,Annahmen!$C$52,0)-IF(AND(MOD($B77,Annahmen!$C$47)=0,$B77&lt;Annahmen!$C$8),Annahmen!$C$49*(1+Annahmen!$C$48)^($B77/Annahmen!$C$47),0)))</f>
        <v>-407.303791129962</v>
      </c>
      <c r="G77" s="58" t="n">
        <f aca="false">IF($B77&gt;Annahmen!$C$8,0,IF($B77=0,-Annahmen!$C$57+Annahmen!$C$77,-Annahmen!$C$6/12/100*Annahmen!$C$58*Annahmen!$C$28*$D77-(Annahmen!$C$61+Annahmen!$C$62+Annahmen!$C$63)/12+IF($B77=Annahmen!$C$8,Annahmen!$C$60,0)))</f>
        <v>-251.6141812032</v>
      </c>
      <c r="H77" s="58" t="n">
        <f aca="false">IF($B77&gt;Annahmen!$C$8,0,IF($B77=0,-Annahmen!$C$66,IF($B77&lt;=Annahmen!$C$67*12,-Annahmen!$C$6/12/100*Annahmen!$C$72*$D77-(Annahmen!$C$73+Annahmen!$C$74+Annahmen!$C$75)/12+IF($B77=Annahmen!$C$67*12,Annahmen!$C$76-(Annahmen!$C$81+Annahmen!$C$41),0),-Annahmen!$C$6/12/100*Annahmen!$C$36*Annahmen!$C$27*$D77-(Annahmen!$C$39+Annahmen!$C$40+Annahmen!$C$42)/12+IF(MOD($B77,12)=0,Annahmen!$C$20,0)+IF($B77=Annahmen!$C$8,Annahmen!$C$82,0))+IF($B77=Annahmen!$C$67*12+Annahmen!$C$19,Annahmen!$C$17*Annahmen!$C$21,0)))</f>
        <v>-156.353791129962</v>
      </c>
      <c r="I77" s="59" t="n">
        <f aca="false">IF($B77&gt;Annahmen!$C$8,0,IF($B77=0,-(Annahmen!$C$86+Annahmen!$C$41)+Annahmen!$C$77,-Annahmen!$C$6/12/100*Annahmen!$C$89*Annahmen!$C$27*$D77-(Annahmen!$C$92+Annahmen!$C$93+Annahmen!$C$94+Annahmen!$C$95)/12+IF(MOD($B77,12)=0,Annahmen!$C$20,0)+IF($B77=Annahmen!$C$8,Annahmen!$C$91,0)))</f>
        <v>-202.124326142123</v>
      </c>
    </row>
    <row r="78" customFormat="false" ht="15" hidden="false" customHeight="true" outlineLevel="0" collapsed="false">
      <c r="B78" s="53" t="n">
        <v>72</v>
      </c>
      <c r="C78" s="54" t="n">
        <f aca="false">1/(1+Annahmen!$C$10)^$B78</f>
        <v>0.837484256683649</v>
      </c>
      <c r="D78" s="54" t="n">
        <f aca="false">(1+Annahmen!$C$11)^INT(MAX($B78-1,0)/12)</f>
        <v>1.1040808032</v>
      </c>
      <c r="E78" s="55" t="n">
        <f aca="false">IF($B78&gt;Annahmen!$C$8,0,IF($B78=0,-(Annahmen!$C$33+Annahmen!$C$41)+Annahmen!$C$77,-Annahmen!$C$6/12/100*Annahmen!$C$36*Annahmen!$C$27*$D78-(Annahmen!$C$39+Annahmen!$C$40+Annahmen!$C$42)/12+IF($B78=Annahmen!$C$19,Annahmen!$C$17,0)+IF(MOD($B78,12)=0,Annahmen!$C$20,0)+IF($B78=Annahmen!$C$8,Annahmen!$C$38,0)))</f>
        <v>9157.51963230754</v>
      </c>
      <c r="F78" s="55" t="n">
        <f aca="false">IF($B78&gt;Annahmen!$C$8,0,IF($B78=0,-(Annahmen!$C$49+Annahmen!$C$41)+Annahmen!$C$77,-Annahmen!$C$46*(1+Annahmen!$C$48)^INT(($B78-1)/Annahmen!$C$47)-Annahmen!$C$6/12/100*Annahmen!$C$36*Annahmen!$C$27*$D78-(Annahmen!$C$53+Annahmen!$C$54)/12+IF($B78=Annahmen!$C$19,Annahmen!$C$17,0)+IF(MOD($B78,12)=0,Annahmen!$C$20,0)-IF(MOD($B78,Annahmen!$C$47)=0,Annahmen!$C$52,0)-IF(AND(MOD($B78,Annahmen!$C$47)=0,$B78&lt;Annahmen!$C$8),Annahmen!$C$49*(1+Annahmen!$C$48)^($B78/Annahmen!$C$47),0)))</f>
        <v>-827.303791129962</v>
      </c>
      <c r="G78" s="55" t="n">
        <f aca="false">IF($B78&gt;Annahmen!$C$8,0,IF($B78=0,-Annahmen!$C$57+Annahmen!$C$77,-Annahmen!$C$6/12/100*Annahmen!$C$58*Annahmen!$C$28*$D78-(Annahmen!$C$61+Annahmen!$C$62+Annahmen!$C$63)/12+IF($B78=Annahmen!$C$8,Annahmen!$C$60,0)))</f>
        <v>9288.1622409948</v>
      </c>
      <c r="H78" s="55" t="n">
        <f aca="false">IF($B78&gt;Annahmen!$C$8,0,IF($B78=0,-Annahmen!$C$66,IF($B78&lt;=Annahmen!$C$67*12,-Annahmen!$C$6/12/100*Annahmen!$C$72*$D78-(Annahmen!$C$73+Annahmen!$C$74+Annahmen!$C$75)/12+IF($B78=Annahmen!$C$67*12,Annahmen!$C$76-(Annahmen!$C$81+Annahmen!$C$41),0),-Annahmen!$C$6/12/100*Annahmen!$C$36*Annahmen!$C$27*$D78-(Annahmen!$C$39+Annahmen!$C$40+Annahmen!$C$42)/12+IF(MOD($B78,12)=0,Annahmen!$C$20,0)+IF($B78=Annahmen!$C$8,Annahmen!$C$82,0))+IF($B78=Annahmen!$C$67*12+Annahmen!$C$19,Annahmen!$C$17*Annahmen!$C$21,0)))</f>
        <v>12996.6811537294</v>
      </c>
      <c r="I78" s="56" t="n">
        <f aca="false">IF($B78&gt;Annahmen!$C$8,0,IF($B78=0,-(Annahmen!$C$86+Annahmen!$C$41)+Annahmen!$C$77,-Annahmen!$C$6/12/100*Annahmen!$C$89*Annahmen!$C$27*$D78-(Annahmen!$C$92+Annahmen!$C$93+Annahmen!$C$94+Annahmen!$C$95)/12+IF(MOD($B78,12)=0,Annahmen!$C$20,0)+IF($B78=Annahmen!$C$8,Annahmen!$C$91,0)))</f>
        <v>9043.53891115588</v>
      </c>
    </row>
    <row r="79" customFormat="false" ht="15" hidden="false" customHeight="true" outlineLevel="0" collapsed="false">
      <c r="B79" s="39" t="n">
        <v>73</v>
      </c>
      <c r="C79" s="57" t="n">
        <f aca="false">1/(1+Annahmen!$C$10)^$B79</f>
        <v>0.835423876031133</v>
      </c>
      <c r="D79" s="57" t="n">
        <f aca="false">(1+Annahmen!$C$11)^INT(MAX($B79-1,0)/12)</f>
        <v>1.126162419264</v>
      </c>
      <c r="E79" s="58" t="n">
        <f aca="false">IF($B79&gt;Annahmen!$C$8,0,IF($B79=0,-(Annahmen!$C$33+Annahmen!$C$41)+Annahmen!$C$77,-Annahmen!$C$6/12/100*Annahmen!$C$36*Annahmen!$C$27*$D79-(Annahmen!$C$39+Annahmen!$C$40+Annahmen!$C$42)/12+IF($B79=Annahmen!$C$19,Annahmen!$C$17,0)+IF(MOD($B79,12)=0,Annahmen!$C$20,0)+IF($B79=Annahmen!$C$8,Annahmen!$C$38,0)))</f>
        <v>0</v>
      </c>
      <c r="F79" s="58" t="n">
        <f aca="false">IF($B79&gt;Annahmen!$C$8,0,IF($B79=0,-(Annahmen!$C$49+Annahmen!$C$41)+Annahmen!$C$77,-Annahmen!$C$46*(1+Annahmen!$C$48)^INT(($B79-1)/Annahmen!$C$47)-Annahmen!$C$6/12/100*Annahmen!$C$36*Annahmen!$C$27*$D79-(Annahmen!$C$53+Annahmen!$C$54)/12+IF($B79=Annahmen!$C$19,Annahmen!$C$17,0)+IF(MOD($B79,12)=0,Annahmen!$C$20,0)-IF(MOD($B79,Annahmen!$C$47)=0,Annahmen!$C$52,0)-IF(AND(MOD($B79,Annahmen!$C$47)=0,$B79&lt;Annahmen!$C$8),Annahmen!$C$49*(1+Annahmen!$C$48)^($B79/Annahmen!$C$47),0)))</f>
        <v>0</v>
      </c>
      <c r="G79" s="58" t="n">
        <f aca="false">IF($B79&gt;Annahmen!$C$8,0,IF($B79=0,-Annahmen!$C$57+Annahmen!$C$77,-Annahmen!$C$6/12/100*Annahmen!$C$58*Annahmen!$C$28*$D79-(Annahmen!$C$61+Annahmen!$C$62+Annahmen!$C$63)/12+IF($B79=Annahmen!$C$8,Annahmen!$C$60,0)))</f>
        <v>0</v>
      </c>
      <c r="H79" s="58" t="n">
        <f aca="false">IF($B79&gt;Annahmen!$C$8,0,IF($B79=0,-Annahmen!$C$66,IF($B79&lt;=Annahmen!$C$67*12,-Annahmen!$C$6/12/100*Annahmen!$C$72*$D79-(Annahmen!$C$73+Annahmen!$C$74+Annahmen!$C$75)/12+IF($B79=Annahmen!$C$67*12,Annahmen!$C$76-(Annahmen!$C$81+Annahmen!$C$41),0),-Annahmen!$C$6/12/100*Annahmen!$C$36*Annahmen!$C$27*$D79-(Annahmen!$C$39+Annahmen!$C$40+Annahmen!$C$42)/12+IF(MOD($B79,12)=0,Annahmen!$C$20,0)+IF($B79=Annahmen!$C$8,Annahmen!$C$82,0))+IF($B79=Annahmen!$C$67*12+Annahmen!$C$19,Annahmen!$C$17*Annahmen!$C$21,0)))</f>
        <v>0</v>
      </c>
      <c r="I79" s="59" t="n">
        <f aca="false">IF($B79&gt;Annahmen!$C$8,0,IF($B79=0,-(Annahmen!$C$86+Annahmen!$C$41)+Annahmen!$C$77,-Annahmen!$C$6/12/100*Annahmen!$C$89*Annahmen!$C$27*$D79-(Annahmen!$C$92+Annahmen!$C$93+Annahmen!$C$94+Annahmen!$C$95)/12+IF(MOD($B79,12)=0,Annahmen!$C$20,0)+IF($B79=Annahmen!$C$8,Annahmen!$C$91,0)))</f>
        <v>0</v>
      </c>
    </row>
    <row r="80" customFormat="false" ht="15" hidden="false" customHeight="true" outlineLevel="0" collapsed="false">
      <c r="B80" s="39" t="n">
        <v>74</v>
      </c>
      <c r="C80" s="57" t="n">
        <f aca="false">1/(1+Annahmen!$C$10)^$B80</f>
        <v>0.833368564331733</v>
      </c>
      <c r="D80" s="57" t="n">
        <f aca="false">(1+Annahmen!$C$11)^INT(MAX($B80-1,0)/12)</f>
        <v>1.126162419264</v>
      </c>
      <c r="E80" s="58" t="n">
        <f aca="false">IF($B80&gt;Annahmen!$C$8,0,IF($B80=0,-(Annahmen!$C$33+Annahmen!$C$41)+Annahmen!$C$77,-Annahmen!$C$6/12/100*Annahmen!$C$36*Annahmen!$C$27*$D80-(Annahmen!$C$39+Annahmen!$C$40+Annahmen!$C$42)/12+IF($B80=Annahmen!$C$19,Annahmen!$C$17,0)+IF(MOD($B80,12)=0,Annahmen!$C$20,0)+IF($B80=Annahmen!$C$8,Annahmen!$C$38,0)))</f>
        <v>0</v>
      </c>
      <c r="F80" s="58" t="n">
        <f aca="false">IF($B80&gt;Annahmen!$C$8,0,IF($B80=0,-(Annahmen!$C$49+Annahmen!$C$41)+Annahmen!$C$77,-Annahmen!$C$46*(1+Annahmen!$C$48)^INT(($B80-1)/Annahmen!$C$47)-Annahmen!$C$6/12/100*Annahmen!$C$36*Annahmen!$C$27*$D80-(Annahmen!$C$53+Annahmen!$C$54)/12+IF($B80=Annahmen!$C$19,Annahmen!$C$17,0)+IF(MOD($B80,12)=0,Annahmen!$C$20,0)-IF(MOD($B80,Annahmen!$C$47)=0,Annahmen!$C$52,0)-IF(AND(MOD($B80,Annahmen!$C$47)=0,$B80&lt;Annahmen!$C$8),Annahmen!$C$49*(1+Annahmen!$C$48)^($B80/Annahmen!$C$47),0)))</f>
        <v>0</v>
      </c>
      <c r="G80" s="58" t="n">
        <f aca="false">IF($B80&gt;Annahmen!$C$8,0,IF($B80=0,-Annahmen!$C$57+Annahmen!$C$77,-Annahmen!$C$6/12/100*Annahmen!$C$58*Annahmen!$C$28*$D80-(Annahmen!$C$61+Annahmen!$C$62+Annahmen!$C$63)/12+IF($B80=Annahmen!$C$8,Annahmen!$C$60,0)))</f>
        <v>0</v>
      </c>
      <c r="H80" s="58" t="n">
        <f aca="false">IF($B80&gt;Annahmen!$C$8,0,IF($B80=0,-Annahmen!$C$66,IF($B80&lt;=Annahmen!$C$67*12,-Annahmen!$C$6/12/100*Annahmen!$C$72*$D80-(Annahmen!$C$73+Annahmen!$C$74+Annahmen!$C$75)/12+IF($B80=Annahmen!$C$67*12,Annahmen!$C$76-(Annahmen!$C$81+Annahmen!$C$41),0),-Annahmen!$C$6/12/100*Annahmen!$C$36*Annahmen!$C$27*$D80-(Annahmen!$C$39+Annahmen!$C$40+Annahmen!$C$42)/12+IF(MOD($B80,12)=0,Annahmen!$C$20,0)+IF($B80=Annahmen!$C$8,Annahmen!$C$82,0))+IF($B80=Annahmen!$C$67*12+Annahmen!$C$19,Annahmen!$C$17*Annahmen!$C$21,0)))</f>
        <v>0</v>
      </c>
      <c r="I80" s="59" t="n">
        <f aca="false">IF($B80&gt;Annahmen!$C$8,0,IF($B80=0,-(Annahmen!$C$86+Annahmen!$C$41)+Annahmen!$C$77,-Annahmen!$C$6/12/100*Annahmen!$C$89*Annahmen!$C$27*$D80-(Annahmen!$C$92+Annahmen!$C$93+Annahmen!$C$94+Annahmen!$C$95)/12+IF(MOD($B80,12)=0,Annahmen!$C$20,0)+IF($B80=Annahmen!$C$8,Annahmen!$C$91,0)))</f>
        <v>0</v>
      </c>
    </row>
    <row r="81" customFormat="false" ht="15" hidden="false" customHeight="true" outlineLevel="0" collapsed="false">
      <c r="B81" s="39" t="n">
        <v>75</v>
      </c>
      <c r="C81" s="57" t="n">
        <f aca="false">1/(1+Annahmen!$C$10)^$B81</f>
        <v>0.831318309114801</v>
      </c>
      <c r="D81" s="57" t="n">
        <f aca="false">(1+Annahmen!$C$11)^INT(MAX($B81-1,0)/12)</f>
        <v>1.126162419264</v>
      </c>
      <c r="E81" s="58" t="n">
        <f aca="false">IF($B81&gt;Annahmen!$C$8,0,IF($B81=0,-(Annahmen!$C$33+Annahmen!$C$41)+Annahmen!$C$77,-Annahmen!$C$6/12/100*Annahmen!$C$36*Annahmen!$C$27*$D81-(Annahmen!$C$39+Annahmen!$C$40+Annahmen!$C$42)/12+IF($B81=Annahmen!$C$19,Annahmen!$C$17,0)+IF(MOD($B81,12)=0,Annahmen!$C$20,0)+IF($B81=Annahmen!$C$8,Annahmen!$C$38,0)))</f>
        <v>0</v>
      </c>
      <c r="F81" s="58" t="n">
        <f aca="false">IF($B81&gt;Annahmen!$C$8,0,IF($B81=0,-(Annahmen!$C$49+Annahmen!$C$41)+Annahmen!$C$77,-Annahmen!$C$46*(1+Annahmen!$C$48)^INT(($B81-1)/Annahmen!$C$47)-Annahmen!$C$6/12/100*Annahmen!$C$36*Annahmen!$C$27*$D81-(Annahmen!$C$53+Annahmen!$C$54)/12+IF($B81=Annahmen!$C$19,Annahmen!$C$17,0)+IF(MOD($B81,12)=0,Annahmen!$C$20,0)-IF(MOD($B81,Annahmen!$C$47)=0,Annahmen!$C$52,0)-IF(AND(MOD($B81,Annahmen!$C$47)=0,$B81&lt;Annahmen!$C$8),Annahmen!$C$49*(1+Annahmen!$C$48)^($B81/Annahmen!$C$47),0)))</f>
        <v>0</v>
      </c>
      <c r="G81" s="58" t="n">
        <f aca="false">IF($B81&gt;Annahmen!$C$8,0,IF($B81=0,-Annahmen!$C$57+Annahmen!$C$77,-Annahmen!$C$6/12/100*Annahmen!$C$58*Annahmen!$C$28*$D81-(Annahmen!$C$61+Annahmen!$C$62+Annahmen!$C$63)/12+IF($B81=Annahmen!$C$8,Annahmen!$C$60,0)))</f>
        <v>0</v>
      </c>
      <c r="H81" s="58" t="n">
        <f aca="false">IF($B81&gt;Annahmen!$C$8,0,IF($B81=0,-Annahmen!$C$66,IF($B81&lt;=Annahmen!$C$67*12,-Annahmen!$C$6/12/100*Annahmen!$C$72*$D81-(Annahmen!$C$73+Annahmen!$C$74+Annahmen!$C$75)/12+IF($B81=Annahmen!$C$67*12,Annahmen!$C$76-(Annahmen!$C$81+Annahmen!$C$41),0),-Annahmen!$C$6/12/100*Annahmen!$C$36*Annahmen!$C$27*$D81-(Annahmen!$C$39+Annahmen!$C$40+Annahmen!$C$42)/12+IF(MOD($B81,12)=0,Annahmen!$C$20,0)+IF($B81=Annahmen!$C$8,Annahmen!$C$82,0))+IF($B81=Annahmen!$C$67*12+Annahmen!$C$19,Annahmen!$C$17*Annahmen!$C$21,0)))</f>
        <v>0</v>
      </c>
      <c r="I81" s="59" t="n">
        <f aca="false">IF($B81&gt;Annahmen!$C$8,0,IF($B81=0,-(Annahmen!$C$86+Annahmen!$C$41)+Annahmen!$C$77,-Annahmen!$C$6/12/100*Annahmen!$C$89*Annahmen!$C$27*$D81-(Annahmen!$C$92+Annahmen!$C$93+Annahmen!$C$94+Annahmen!$C$95)/12+IF(MOD($B81,12)=0,Annahmen!$C$20,0)+IF($B81=Annahmen!$C$8,Annahmen!$C$91,0)))</f>
        <v>0</v>
      </c>
    </row>
    <row r="82" customFormat="false" ht="15" hidden="false" customHeight="true" outlineLevel="0" collapsed="false">
      <c r="B82" s="39" t="n">
        <v>76</v>
      </c>
      <c r="C82" s="57" t="n">
        <f aca="false">1/(1+Annahmen!$C$10)^$B82</f>
        <v>0.829273097940366</v>
      </c>
      <c r="D82" s="57" t="n">
        <f aca="false">(1+Annahmen!$C$11)^INT(MAX($B82-1,0)/12)</f>
        <v>1.126162419264</v>
      </c>
      <c r="E82" s="58" t="n">
        <f aca="false">IF($B82&gt;Annahmen!$C$8,0,IF($B82=0,-(Annahmen!$C$33+Annahmen!$C$41)+Annahmen!$C$77,-Annahmen!$C$6/12/100*Annahmen!$C$36*Annahmen!$C$27*$D82-(Annahmen!$C$39+Annahmen!$C$40+Annahmen!$C$42)/12+IF($B82=Annahmen!$C$19,Annahmen!$C$17,0)+IF(MOD($B82,12)=0,Annahmen!$C$20,0)+IF($B82=Annahmen!$C$8,Annahmen!$C$38,0)))</f>
        <v>0</v>
      </c>
      <c r="F82" s="58" t="n">
        <f aca="false">IF($B82&gt;Annahmen!$C$8,0,IF($B82=0,-(Annahmen!$C$49+Annahmen!$C$41)+Annahmen!$C$77,-Annahmen!$C$46*(1+Annahmen!$C$48)^INT(($B82-1)/Annahmen!$C$47)-Annahmen!$C$6/12/100*Annahmen!$C$36*Annahmen!$C$27*$D82-(Annahmen!$C$53+Annahmen!$C$54)/12+IF($B82=Annahmen!$C$19,Annahmen!$C$17,0)+IF(MOD($B82,12)=0,Annahmen!$C$20,0)-IF(MOD($B82,Annahmen!$C$47)=0,Annahmen!$C$52,0)-IF(AND(MOD($B82,Annahmen!$C$47)=0,$B82&lt;Annahmen!$C$8),Annahmen!$C$49*(1+Annahmen!$C$48)^($B82/Annahmen!$C$47),0)))</f>
        <v>0</v>
      </c>
      <c r="G82" s="58" t="n">
        <f aca="false">IF($B82&gt;Annahmen!$C$8,0,IF($B82=0,-Annahmen!$C$57+Annahmen!$C$77,-Annahmen!$C$6/12/100*Annahmen!$C$58*Annahmen!$C$28*$D82-(Annahmen!$C$61+Annahmen!$C$62+Annahmen!$C$63)/12+IF($B82=Annahmen!$C$8,Annahmen!$C$60,0)))</f>
        <v>0</v>
      </c>
      <c r="H82" s="58" t="n">
        <f aca="false">IF($B82&gt;Annahmen!$C$8,0,IF($B82=0,-Annahmen!$C$66,IF($B82&lt;=Annahmen!$C$67*12,-Annahmen!$C$6/12/100*Annahmen!$C$72*$D82-(Annahmen!$C$73+Annahmen!$C$74+Annahmen!$C$75)/12+IF($B82=Annahmen!$C$67*12,Annahmen!$C$76-(Annahmen!$C$81+Annahmen!$C$41),0),-Annahmen!$C$6/12/100*Annahmen!$C$36*Annahmen!$C$27*$D82-(Annahmen!$C$39+Annahmen!$C$40+Annahmen!$C$42)/12+IF(MOD($B82,12)=0,Annahmen!$C$20,0)+IF($B82=Annahmen!$C$8,Annahmen!$C$82,0))+IF($B82=Annahmen!$C$67*12+Annahmen!$C$19,Annahmen!$C$17*Annahmen!$C$21,0)))</f>
        <v>0</v>
      </c>
      <c r="I82" s="59" t="n">
        <f aca="false">IF($B82&gt;Annahmen!$C$8,0,IF($B82=0,-(Annahmen!$C$86+Annahmen!$C$41)+Annahmen!$C$77,-Annahmen!$C$6/12/100*Annahmen!$C$89*Annahmen!$C$27*$D82-(Annahmen!$C$92+Annahmen!$C$93+Annahmen!$C$94+Annahmen!$C$95)/12+IF(MOD($B82,12)=0,Annahmen!$C$20,0)+IF($B82=Annahmen!$C$8,Annahmen!$C$91,0)))</f>
        <v>0</v>
      </c>
    </row>
    <row r="83" customFormat="false" ht="15" hidden="false" customHeight="true" outlineLevel="0" collapsed="false">
      <c r="B83" s="39" t="n">
        <v>77</v>
      </c>
      <c r="C83" s="57" t="n">
        <f aca="false">1/(1+Annahmen!$C$10)^$B83</f>
        <v>0.827232918399064</v>
      </c>
      <c r="D83" s="57" t="n">
        <f aca="false">(1+Annahmen!$C$11)^INT(MAX($B83-1,0)/12)</f>
        <v>1.126162419264</v>
      </c>
      <c r="E83" s="58" t="n">
        <f aca="false">IF($B83&gt;Annahmen!$C$8,0,IF($B83=0,-(Annahmen!$C$33+Annahmen!$C$41)+Annahmen!$C$77,-Annahmen!$C$6/12/100*Annahmen!$C$36*Annahmen!$C$27*$D83-(Annahmen!$C$39+Annahmen!$C$40+Annahmen!$C$42)/12+IF($B83=Annahmen!$C$19,Annahmen!$C$17,0)+IF(MOD($B83,12)=0,Annahmen!$C$20,0)+IF($B83=Annahmen!$C$8,Annahmen!$C$38,0)))</f>
        <v>0</v>
      </c>
      <c r="F83" s="58" t="n">
        <f aca="false">IF($B83&gt;Annahmen!$C$8,0,IF($B83=0,-(Annahmen!$C$49+Annahmen!$C$41)+Annahmen!$C$77,-Annahmen!$C$46*(1+Annahmen!$C$48)^INT(($B83-1)/Annahmen!$C$47)-Annahmen!$C$6/12/100*Annahmen!$C$36*Annahmen!$C$27*$D83-(Annahmen!$C$53+Annahmen!$C$54)/12+IF($B83=Annahmen!$C$19,Annahmen!$C$17,0)+IF(MOD($B83,12)=0,Annahmen!$C$20,0)-IF(MOD($B83,Annahmen!$C$47)=0,Annahmen!$C$52,0)-IF(AND(MOD($B83,Annahmen!$C$47)=0,$B83&lt;Annahmen!$C$8),Annahmen!$C$49*(1+Annahmen!$C$48)^($B83/Annahmen!$C$47),0)))</f>
        <v>0</v>
      </c>
      <c r="G83" s="58" t="n">
        <f aca="false">IF($B83&gt;Annahmen!$C$8,0,IF($B83=0,-Annahmen!$C$57+Annahmen!$C$77,-Annahmen!$C$6/12/100*Annahmen!$C$58*Annahmen!$C$28*$D83-(Annahmen!$C$61+Annahmen!$C$62+Annahmen!$C$63)/12+IF($B83=Annahmen!$C$8,Annahmen!$C$60,0)))</f>
        <v>0</v>
      </c>
      <c r="H83" s="58" t="n">
        <f aca="false">IF($B83&gt;Annahmen!$C$8,0,IF($B83=0,-Annahmen!$C$66,IF($B83&lt;=Annahmen!$C$67*12,-Annahmen!$C$6/12/100*Annahmen!$C$72*$D83-(Annahmen!$C$73+Annahmen!$C$74+Annahmen!$C$75)/12+IF($B83=Annahmen!$C$67*12,Annahmen!$C$76-(Annahmen!$C$81+Annahmen!$C$41),0),-Annahmen!$C$6/12/100*Annahmen!$C$36*Annahmen!$C$27*$D83-(Annahmen!$C$39+Annahmen!$C$40+Annahmen!$C$42)/12+IF(MOD($B83,12)=0,Annahmen!$C$20,0)+IF($B83=Annahmen!$C$8,Annahmen!$C$82,0))+IF($B83=Annahmen!$C$67*12+Annahmen!$C$19,Annahmen!$C$17*Annahmen!$C$21,0)))</f>
        <v>0</v>
      </c>
      <c r="I83" s="59" t="n">
        <f aca="false">IF($B83&gt;Annahmen!$C$8,0,IF($B83=0,-(Annahmen!$C$86+Annahmen!$C$41)+Annahmen!$C$77,-Annahmen!$C$6/12/100*Annahmen!$C$89*Annahmen!$C$27*$D83-(Annahmen!$C$92+Annahmen!$C$93+Annahmen!$C$94+Annahmen!$C$95)/12+IF(MOD($B83,12)=0,Annahmen!$C$20,0)+IF($B83=Annahmen!$C$8,Annahmen!$C$91,0)))</f>
        <v>0</v>
      </c>
    </row>
    <row r="84" customFormat="false" ht="15" hidden="false" customHeight="true" outlineLevel="0" collapsed="false">
      <c r="B84" s="39" t="n">
        <v>78</v>
      </c>
      <c r="C84" s="57" t="n">
        <f aca="false">1/(1+Annahmen!$C$10)^$B84</f>
        <v>0.825197758112059</v>
      </c>
      <c r="D84" s="57" t="n">
        <f aca="false">(1+Annahmen!$C$11)^INT(MAX($B84-1,0)/12)</f>
        <v>1.126162419264</v>
      </c>
      <c r="E84" s="58" t="n">
        <f aca="false">IF($B84&gt;Annahmen!$C$8,0,IF($B84=0,-(Annahmen!$C$33+Annahmen!$C$41)+Annahmen!$C$77,-Annahmen!$C$6/12/100*Annahmen!$C$36*Annahmen!$C$27*$D84-(Annahmen!$C$39+Annahmen!$C$40+Annahmen!$C$42)/12+IF($B84=Annahmen!$C$19,Annahmen!$C$17,0)+IF(MOD($B84,12)=0,Annahmen!$C$20,0)+IF($B84=Annahmen!$C$8,Annahmen!$C$38,0)))</f>
        <v>0</v>
      </c>
      <c r="F84" s="58" t="n">
        <f aca="false">IF($B84&gt;Annahmen!$C$8,0,IF($B84=0,-(Annahmen!$C$49+Annahmen!$C$41)+Annahmen!$C$77,-Annahmen!$C$46*(1+Annahmen!$C$48)^INT(($B84-1)/Annahmen!$C$47)-Annahmen!$C$6/12/100*Annahmen!$C$36*Annahmen!$C$27*$D84-(Annahmen!$C$53+Annahmen!$C$54)/12+IF($B84=Annahmen!$C$19,Annahmen!$C$17,0)+IF(MOD($B84,12)=0,Annahmen!$C$20,0)-IF(MOD($B84,Annahmen!$C$47)=0,Annahmen!$C$52,0)-IF(AND(MOD($B84,Annahmen!$C$47)=0,$B84&lt;Annahmen!$C$8),Annahmen!$C$49*(1+Annahmen!$C$48)^($B84/Annahmen!$C$47),0)))</f>
        <v>0</v>
      </c>
      <c r="G84" s="58" t="n">
        <f aca="false">IF($B84&gt;Annahmen!$C$8,0,IF($B84=0,-Annahmen!$C$57+Annahmen!$C$77,-Annahmen!$C$6/12/100*Annahmen!$C$58*Annahmen!$C$28*$D84-(Annahmen!$C$61+Annahmen!$C$62+Annahmen!$C$63)/12+IF($B84=Annahmen!$C$8,Annahmen!$C$60,0)))</f>
        <v>0</v>
      </c>
      <c r="H84" s="58" t="n">
        <f aca="false">IF($B84&gt;Annahmen!$C$8,0,IF($B84=0,-Annahmen!$C$66,IF($B84&lt;=Annahmen!$C$67*12,-Annahmen!$C$6/12/100*Annahmen!$C$72*$D84-(Annahmen!$C$73+Annahmen!$C$74+Annahmen!$C$75)/12+IF($B84=Annahmen!$C$67*12,Annahmen!$C$76-(Annahmen!$C$81+Annahmen!$C$41),0),-Annahmen!$C$6/12/100*Annahmen!$C$36*Annahmen!$C$27*$D84-(Annahmen!$C$39+Annahmen!$C$40+Annahmen!$C$42)/12+IF(MOD($B84,12)=0,Annahmen!$C$20,0)+IF($B84=Annahmen!$C$8,Annahmen!$C$82,0))+IF($B84=Annahmen!$C$67*12+Annahmen!$C$19,Annahmen!$C$17*Annahmen!$C$21,0)))</f>
        <v>0</v>
      </c>
      <c r="I84" s="59" t="n">
        <f aca="false">IF($B84&gt;Annahmen!$C$8,0,IF($B84=0,-(Annahmen!$C$86+Annahmen!$C$41)+Annahmen!$C$77,-Annahmen!$C$6/12/100*Annahmen!$C$89*Annahmen!$C$27*$D84-(Annahmen!$C$92+Annahmen!$C$93+Annahmen!$C$94+Annahmen!$C$95)/12+IF(MOD($B84,12)=0,Annahmen!$C$20,0)+IF($B84=Annahmen!$C$8,Annahmen!$C$91,0)))</f>
        <v>0</v>
      </c>
    </row>
    <row r="85" customFormat="false" ht="15" hidden="false" customHeight="true" outlineLevel="0" collapsed="false">
      <c r="B85" s="39" t="n">
        <v>79</v>
      </c>
      <c r="C85" s="57" t="n">
        <f aca="false">1/(1+Annahmen!$C$10)^$B85</f>
        <v>0.823167604730972</v>
      </c>
      <c r="D85" s="57" t="n">
        <f aca="false">(1+Annahmen!$C$11)^INT(MAX($B85-1,0)/12)</f>
        <v>1.126162419264</v>
      </c>
      <c r="E85" s="58" t="n">
        <f aca="false">IF($B85&gt;Annahmen!$C$8,0,IF($B85=0,-(Annahmen!$C$33+Annahmen!$C$41)+Annahmen!$C$77,-Annahmen!$C$6/12/100*Annahmen!$C$36*Annahmen!$C$27*$D85-(Annahmen!$C$39+Annahmen!$C$40+Annahmen!$C$42)/12+IF($B85=Annahmen!$C$19,Annahmen!$C$17,0)+IF(MOD($B85,12)=0,Annahmen!$C$20,0)+IF($B85=Annahmen!$C$8,Annahmen!$C$38,0)))</f>
        <v>0</v>
      </c>
      <c r="F85" s="58" t="n">
        <f aca="false">IF($B85&gt;Annahmen!$C$8,0,IF($B85=0,-(Annahmen!$C$49+Annahmen!$C$41)+Annahmen!$C$77,-Annahmen!$C$46*(1+Annahmen!$C$48)^INT(($B85-1)/Annahmen!$C$47)-Annahmen!$C$6/12/100*Annahmen!$C$36*Annahmen!$C$27*$D85-(Annahmen!$C$53+Annahmen!$C$54)/12+IF($B85=Annahmen!$C$19,Annahmen!$C$17,0)+IF(MOD($B85,12)=0,Annahmen!$C$20,0)-IF(MOD($B85,Annahmen!$C$47)=0,Annahmen!$C$52,0)-IF(AND(MOD($B85,Annahmen!$C$47)=0,$B85&lt;Annahmen!$C$8),Annahmen!$C$49*(1+Annahmen!$C$48)^($B85/Annahmen!$C$47),0)))</f>
        <v>0</v>
      </c>
      <c r="G85" s="58" t="n">
        <f aca="false">IF($B85&gt;Annahmen!$C$8,0,IF($B85=0,-Annahmen!$C$57+Annahmen!$C$77,-Annahmen!$C$6/12/100*Annahmen!$C$58*Annahmen!$C$28*$D85-(Annahmen!$C$61+Annahmen!$C$62+Annahmen!$C$63)/12+IF($B85=Annahmen!$C$8,Annahmen!$C$60,0)))</f>
        <v>0</v>
      </c>
      <c r="H85" s="58" t="n">
        <f aca="false">IF($B85&gt;Annahmen!$C$8,0,IF($B85=0,-Annahmen!$C$66,IF($B85&lt;=Annahmen!$C$67*12,-Annahmen!$C$6/12/100*Annahmen!$C$72*$D85-(Annahmen!$C$73+Annahmen!$C$74+Annahmen!$C$75)/12+IF($B85=Annahmen!$C$67*12,Annahmen!$C$76-(Annahmen!$C$81+Annahmen!$C$41),0),-Annahmen!$C$6/12/100*Annahmen!$C$36*Annahmen!$C$27*$D85-(Annahmen!$C$39+Annahmen!$C$40+Annahmen!$C$42)/12+IF(MOD($B85,12)=0,Annahmen!$C$20,0)+IF($B85=Annahmen!$C$8,Annahmen!$C$82,0))+IF($B85=Annahmen!$C$67*12+Annahmen!$C$19,Annahmen!$C$17*Annahmen!$C$21,0)))</f>
        <v>0</v>
      </c>
      <c r="I85" s="59" t="n">
        <f aca="false">IF($B85&gt;Annahmen!$C$8,0,IF($B85=0,-(Annahmen!$C$86+Annahmen!$C$41)+Annahmen!$C$77,-Annahmen!$C$6/12/100*Annahmen!$C$89*Annahmen!$C$27*$D85-(Annahmen!$C$92+Annahmen!$C$93+Annahmen!$C$94+Annahmen!$C$95)/12+IF(MOD($B85,12)=0,Annahmen!$C$20,0)+IF($B85=Annahmen!$C$8,Annahmen!$C$91,0)))</f>
        <v>0</v>
      </c>
    </row>
    <row r="86" customFormat="false" ht="15" hidden="false" customHeight="true" outlineLevel="0" collapsed="false">
      <c r="B86" s="39" t="n">
        <v>80</v>
      </c>
      <c r="C86" s="57" t="n">
        <f aca="false">1/(1+Annahmen!$C$10)^$B86</f>
        <v>0.8211424459378</v>
      </c>
      <c r="D86" s="57" t="n">
        <f aca="false">(1+Annahmen!$C$11)^INT(MAX($B86-1,0)/12)</f>
        <v>1.126162419264</v>
      </c>
      <c r="E86" s="58" t="n">
        <f aca="false">IF($B86&gt;Annahmen!$C$8,0,IF($B86=0,-(Annahmen!$C$33+Annahmen!$C$41)+Annahmen!$C$77,-Annahmen!$C$6/12/100*Annahmen!$C$36*Annahmen!$C$27*$D86-(Annahmen!$C$39+Annahmen!$C$40+Annahmen!$C$42)/12+IF($B86=Annahmen!$C$19,Annahmen!$C$17,0)+IF(MOD($B86,12)=0,Annahmen!$C$20,0)+IF($B86=Annahmen!$C$8,Annahmen!$C$38,0)))</f>
        <v>0</v>
      </c>
      <c r="F86" s="58" t="n">
        <f aca="false">IF($B86&gt;Annahmen!$C$8,0,IF($B86=0,-(Annahmen!$C$49+Annahmen!$C$41)+Annahmen!$C$77,-Annahmen!$C$46*(1+Annahmen!$C$48)^INT(($B86-1)/Annahmen!$C$47)-Annahmen!$C$6/12/100*Annahmen!$C$36*Annahmen!$C$27*$D86-(Annahmen!$C$53+Annahmen!$C$54)/12+IF($B86=Annahmen!$C$19,Annahmen!$C$17,0)+IF(MOD($B86,12)=0,Annahmen!$C$20,0)-IF(MOD($B86,Annahmen!$C$47)=0,Annahmen!$C$52,0)-IF(AND(MOD($B86,Annahmen!$C$47)=0,$B86&lt;Annahmen!$C$8),Annahmen!$C$49*(1+Annahmen!$C$48)^($B86/Annahmen!$C$47),0)))</f>
        <v>0</v>
      </c>
      <c r="G86" s="58" t="n">
        <f aca="false">IF($B86&gt;Annahmen!$C$8,0,IF($B86=0,-Annahmen!$C$57+Annahmen!$C$77,-Annahmen!$C$6/12/100*Annahmen!$C$58*Annahmen!$C$28*$D86-(Annahmen!$C$61+Annahmen!$C$62+Annahmen!$C$63)/12+IF($B86=Annahmen!$C$8,Annahmen!$C$60,0)))</f>
        <v>0</v>
      </c>
      <c r="H86" s="58" t="n">
        <f aca="false">IF($B86&gt;Annahmen!$C$8,0,IF($B86=0,-Annahmen!$C$66,IF($B86&lt;=Annahmen!$C$67*12,-Annahmen!$C$6/12/100*Annahmen!$C$72*$D86-(Annahmen!$C$73+Annahmen!$C$74+Annahmen!$C$75)/12+IF($B86=Annahmen!$C$67*12,Annahmen!$C$76-(Annahmen!$C$81+Annahmen!$C$41),0),-Annahmen!$C$6/12/100*Annahmen!$C$36*Annahmen!$C$27*$D86-(Annahmen!$C$39+Annahmen!$C$40+Annahmen!$C$42)/12+IF(MOD($B86,12)=0,Annahmen!$C$20,0)+IF($B86=Annahmen!$C$8,Annahmen!$C$82,0))+IF($B86=Annahmen!$C$67*12+Annahmen!$C$19,Annahmen!$C$17*Annahmen!$C$21,0)))</f>
        <v>0</v>
      </c>
      <c r="I86" s="59" t="n">
        <f aca="false">IF($B86&gt;Annahmen!$C$8,0,IF($B86=0,-(Annahmen!$C$86+Annahmen!$C$41)+Annahmen!$C$77,-Annahmen!$C$6/12/100*Annahmen!$C$89*Annahmen!$C$27*$D86-(Annahmen!$C$92+Annahmen!$C$93+Annahmen!$C$94+Annahmen!$C$95)/12+IF(MOD($B86,12)=0,Annahmen!$C$20,0)+IF($B86=Annahmen!$C$8,Annahmen!$C$91,0)))</f>
        <v>0</v>
      </c>
    </row>
    <row r="87" customFormat="false" ht="15" hidden="false" customHeight="true" outlineLevel="0" collapsed="false">
      <c r="B87" s="39" t="n">
        <v>81</v>
      </c>
      <c r="C87" s="57" t="n">
        <f aca="false">1/(1+Annahmen!$C$10)^$B87</f>
        <v>0.819122269444847</v>
      </c>
      <c r="D87" s="57" t="n">
        <f aca="false">(1+Annahmen!$C$11)^INT(MAX($B87-1,0)/12)</f>
        <v>1.126162419264</v>
      </c>
      <c r="E87" s="58" t="n">
        <f aca="false">IF($B87&gt;Annahmen!$C$8,0,IF($B87=0,-(Annahmen!$C$33+Annahmen!$C$41)+Annahmen!$C$77,-Annahmen!$C$6/12/100*Annahmen!$C$36*Annahmen!$C$27*$D87-(Annahmen!$C$39+Annahmen!$C$40+Annahmen!$C$42)/12+IF($B87=Annahmen!$C$19,Annahmen!$C$17,0)+IF(MOD($B87,12)=0,Annahmen!$C$20,0)+IF($B87=Annahmen!$C$8,Annahmen!$C$38,0)))</f>
        <v>0</v>
      </c>
      <c r="F87" s="58" t="n">
        <f aca="false">IF($B87&gt;Annahmen!$C$8,0,IF($B87=0,-(Annahmen!$C$49+Annahmen!$C$41)+Annahmen!$C$77,-Annahmen!$C$46*(1+Annahmen!$C$48)^INT(($B87-1)/Annahmen!$C$47)-Annahmen!$C$6/12/100*Annahmen!$C$36*Annahmen!$C$27*$D87-(Annahmen!$C$53+Annahmen!$C$54)/12+IF($B87=Annahmen!$C$19,Annahmen!$C$17,0)+IF(MOD($B87,12)=0,Annahmen!$C$20,0)-IF(MOD($B87,Annahmen!$C$47)=0,Annahmen!$C$52,0)-IF(AND(MOD($B87,Annahmen!$C$47)=0,$B87&lt;Annahmen!$C$8),Annahmen!$C$49*(1+Annahmen!$C$48)^($B87/Annahmen!$C$47),0)))</f>
        <v>0</v>
      </c>
      <c r="G87" s="58" t="n">
        <f aca="false">IF($B87&gt;Annahmen!$C$8,0,IF($B87=0,-Annahmen!$C$57+Annahmen!$C$77,-Annahmen!$C$6/12/100*Annahmen!$C$58*Annahmen!$C$28*$D87-(Annahmen!$C$61+Annahmen!$C$62+Annahmen!$C$63)/12+IF($B87=Annahmen!$C$8,Annahmen!$C$60,0)))</f>
        <v>0</v>
      </c>
      <c r="H87" s="58" t="n">
        <f aca="false">IF($B87&gt;Annahmen!$C$8,0,IF($B87=0,-Annahmen!$C$66,IF($B87&lt;=Annahmen!$C$67*12,-Annahmen!$C$6/12/100*Annahmen!$C$72*$D87-(Annahmen!$C$73+Annahmen!$C$74+Annahmen!$C$75)/12+IF($B87=Annahmen!$C$67*12,Annahmen!$C$76-(Annahmen!$C$81+Annahmen!$C$41),0),-Annahmen!$C$6/12/100*Annahmen!$C$36*Annahmen!$C$27*$D87-(Annahmen!$C$39+Annahmen!$C$40+Annahmen!$C$42)/12+IF(MOD($B87,12)=0,Annahmen!$C$20,0)+IF($B87=Annahmen!$C$8,Annahmen!$C$82,0))+IF($B87=Annahmen!$C$67*12+Annahmen!$C$19,Annahmen!$C$17*Annahmen!$C$21,0)))</f>
        <v>0</v>
      </c>
      <c r="I87" s="59" t="n">
        <f aca="false">IF($B87&gt;Annahmen!$C$8,0,IF($B87=0,-(Annahmen!$C$86+Annahmen!$C$41)+Annahmen!$C$77,-Annahmen!$C$6/12/100*Annahmen!$C$89*Annahmen!$C$27*$D87-(Annahmen!$C$92+Annahmen!$C$93+Annahmen!$C$94+Annahmen!$C$95)/12+IF(MOD($B87,12)=0,Annahmen!$C$20,0)+IF($B87=Annahmen!$C$8,Annahmen!$C$91,0)))</f>
        <v>0</v>
      </c>
    </row>
    <row r="88" customFormat="false" ht="15" hidden="false" customHeight="true" outlineLevel="0" collapsed="false">
      <c r="B88" s="39" t="n">
        <v>82</v>
      </c>
      <c r="C88" s="57" t="n">
        <f aca="false">1/(1+Annahmen!$C$10)^$B88</f>
        <v>0.817107062994648</v>
      </c>
      <c r="D88" s="57" t="n">
        <f aca="false">(1+Annahmen!$C$11)^INT(MAX($B88-1,0)/12)</f>
        <v>1.126162419264</v>
      </c>
      <c r="E88" s="58" t="n">
        <f aca="false">IF($B88&gt;Annahmen!$C$8,0,IF($B88=0,-(Annahmen!$C$33+Annahmen!$C$41)+Annahmen!$C$77,-Annahmen!$C$6/12/100*Annahmen!$C$36*Annahmen!$C$27*$D88-(Annahmen!$C$39+Annahmen!$C$40+Annahmen!$C$42)/12+IF($B88=Annahmen!$C$19,Annahmen!$C$17,0)+IF(MOD($B88,12)=0,Annahmen!$C$20,0)+IF($B88=Annahmen!$C$8,Annahmen!$C$38,0)))</f>
        <v>0</v>
      </c>
      <c r="F88" s="58" t="n">
        <f aca="false">IF($B88&gt;Annahmen!$C$8,0,IF($B88=0,-(Annahmen!$C$49+Annahmen!$C$41)+Annahmen!$C$77,-Annahmen!$C$46*(1+Annahmen!$C$48)^INT(($B88-1)/Annahmen!$C$47)-Annahmen!$C$6/12/100*Annahmen!$C$36*Annahmen!$C$27*$D88-(Annahmen!$C$53+Annahmen!$C$54)/12+IF($B88=Annahmen!$C$19,Annahmen!$C$17,0)+IF(MOD($B88,12)=0,Annahmen!$C$20,0)-IF(MOD($B88,Annahmen!$C$47)=0,Annahmen!$C$52,0)-IF(AND(MOD($B88,Annahmen!$C$47)=0,$B88&lt;Annahmen!$C$8),Annahmen!$C$49*(1+Annahmen!$C$48)^($B88/Annahmen!$C$47),0)))</f>
        <v>0</v>
      </c>
      <c r="G88" s="58" t="n">
        <f aca="false">IF($B88&gt;Annahmen!$C$8,0,IF($B88=0,-Annahmen!$C$57+Annahmen!$C$77,-Annahmen!$C$6/12/100*Annahmen!$C$58*Annahmen!$C$28*$D88-(Annahmen!$C$61+Annahmen!$C$62+Annahmen!$C$63)/12+IF($B88=Annahmen!$C$8,Annahmen!$C$60,0)))</f>
        <v>0</v>
      </c>
      <c r="H88" s="58" t="n">
        <f aca="false">IF($B88&gt;Annahmen!$C$8,0,IF($B88=0,-Annahmen!$C$66,IF($B88&lt;=Annahmen!$C$67*12,-Annahmen!$C$6/12/100*Annahmen!$C$72*$D88-(Annahmen!$C$73+Annahmen!$C$74+Annahmen!$C$75)/12+IF($B88=Annahmen!$C$67*12,Annahmen!$C$76-(Annahmen!$C$81+Annahmen!$C$41),0),-Annahmen!$C$6/12/100*Annahmen!$C$36*Annahmen!$C$27*$D88-(Annahmen!$C$39+Annahmen!$C$40+Annahmen!$C$42)/12+IF(MOD($B88,12)=0,Annahmen!$C$20,0)+IF($B88=Annahmen!$C$8,Annahmen!$C$82,0))+IF($B88=Annahmen!$C$67*12+Annahmen!$C$19,Annahmen!$C$17*Annahmen!$C$21,0)))</f>
        <v>0</v>
      </c>
      <c r="I88" s="59" t="n">
        <f aca="false">IF($B88&gt;Annahmen!$C$8,0,IF($B88=0,-(Annahmen!$C$86+Annahmen!$C$41)+Annahmen!$C$77,-Annahmen!$C$6/12/100*Annahmen!$C$89*Annahmen!$C$27*$D88-(Annahmen!$C$92+Annahmen!$C$93+Annahmen!$C$94+Annahmen!$C$95)/12+IF(MOD($B88,12)=0,Annahmen!$C$20,0)+IF($B88=Annahmen!$C$8,Annahmen!$C$91,0)))</f>
        <v>0</v>
      </c>
    </row>
    <row r="89" customFormat="false" ht="15" hidden="false" customHeight="true" outlineLevel="0" collapsed="false">
      <c r="B89" s="39" t="n">
        <v>83</v>
      </c>
      <c r="C89" s="57" t="n">
        <f aca="false">1/(1+Annahmen!$C$10)^$B89</f>
        <v>0.815096814359891</v>
      </c>
      <c r="D89" s="57" t="n">
        <f aca="false">(1+Annahmen!$C$11)^INT(MAX($B89-1,0)/12)</f>
        <v>1.126162419264</v>
      </c>
      <c r="E89" s="58" t="n">
        <f aca="false">IF($B89&gt;Annahmen!$C$8,0,IF($B89=0,-(Annahmen!$C$33+Annahmen!$C$41)+Annahmen!$C$77,-Annahmen!$C$6/12/100*Annahmen!$C$36*Annahmen!$C$27*$D89-(Annahmen!$C$39+Annahmen!$C$40+Annahmen!$C$42)/12+IF($B89=Annahmen!$C$19,Annahmen!$C$17,0)+IF(MOD($B89,12)=0,Annahmen!$C$20,0)+IF($B89=Annahmen!$C$8,Annahmen!$C$38,0)))</f>
        <v>0</v>
      </c>
      <c r="F89" s="58" t="n">
        <f aca="false">IF($B89&gt;Annahmen!$C$8,0,IF($B89=0,-(Annahmen!$C$49+Annahmen!$C$41)+Annahmen!$C$77,-Annahmen!$C$46*(1+Annahmen!$C$48)^INT(($B89-1)/Annahmen!$C$47)-Annahmen!$C$6/12/100*Annahmen!$C$36*Annahmen!$C$27*$D89-(Annahmen!$C$53+Annahmen!$C$54)/12+IF($B89=Annahmen!$C$19,Annahmen!$C$17,0)+IF(MOD($B89,12)=0,Annahmen!$C$20,0)-IF(MOD($B89,Annahmen!$C$47)=0,Annahmen!$C$52,0)-IF(AND(MOD($B89,Annahmen!$C$47)=0,$B89&lt;Annahmen!$C$8),Annahmen!$C$49*(1+Annahmen!$C$48)^($B89/Annahmen!$C$47),0)))</f>
        <v>0</v>
      </c>
      <c r="G89" s="58" t="n">
        <f aca="false">IF($B89&gt;Annahmen!$C$8,0,IF($B89=0,-Annahmen!$C$57+Annahmen!$C$77,-Annahmen!$C$6/12/100*Annahmen!$C$58*Annahmen!$C$28*$D89-(Annahmen!$C$61+Annahmen!$C$62+Annahmen!$C$63)/12+IF($B89=Annahmen!$C$8,Annahmen!$C$60,0)))</f>
        <v>0</v>
      </c>
      <c r="H89" s="58" t="n">
        <f aca="false">IF($B89&gt;Annahmen!$C$8,0,IF($B89=0,-Annahmen!$C$66,IF($B89&lt;=Annahmen!$C$67*12,-Annahmen!$C$6/12/100*Annahmen!$C$72*$D89-(Annahmen!$C$73+Annahmen!$C$74+Annahmen!$C$75)/12+IF($B89=Annahmen!$C$67*12,Annahmen!$C$76-(Annahmen!$C$81+Annahmen!$C$41),0),-Annahmen!$C$6/12/100*Annahmen!$C$36*Annahmen!$C$27*$D89-(Annahmen!$C$39+Annahmen!$C$40+Annahmen!$C$42)/12+IF(MOD($B89,12)=0,Annahmen!$C$20,0)+IF($B89=Annahmen!$C$8,Annahmen!$C$82,0))+IF($B89=Annahmen!$C$67*12+Annahmen!$C$19,Annahmen!$C$17*Annahmen!$C$21,0)))</f>
        <v>0</v>
      </c>
      <c r="I89" s="59" t="n">
        <f aca="false">IF($B89&gt;Annahmen!$C$8,0,IF($B89=0,-(Annahmen!$C$86+Annahmen!$C$41)+Annahmen!$C$77,-Annahmen!$C$6/12/100*Annahmen!$C$89*Annahmen!$C$27*$D89-(Annahmen!$C$92+Annahmen!$C$93+Annahmen!$C$94+Annahmen!$C$95)/12+IF(MOD($B89,12)=0,Annahmen!$C$20,0)+IF($B89=Annahmen!$C$8,Annahmen!$C$91,0)))</f>
        <v>0</v>
      </c>
    </row>
    <row r="90" customFormat="false" ht="15" hidden="false" customHeight="true" outlineLevel="0" collapsed="false">
      <c r="B90" s="53" t="n">
        <v>84</v>
      </c>
      <c r="C90" s="54" t="n">
        <f aca="false">1/(1+Annahmen!$C$10)^$B90</f>
        <v>0.813091511343348</v>
      </c>
      <c r="D90" s="54" t="n">
        <f aca="false">(1+Annahmen!$C$11)^INT(MAX($B90-1,0)/12)</f>
        <v>1.126162419264</v>
      </c>
      <c r="E90" s="55" t="n">
        <f aca="false">IF($B90&gt;Annahmen!$C$8,0,IF($B90=0,-(Annahmen!$C$33+Annahmen!$C$41)+Annahmen!$C$77,-Annahmen!$C$6/12/100*Annahmen!$C$36*Annahmen!$C$27*$D90-(Annahmen!$C$39+Annahmen!$C$40+Annahmen!$C$42)/12+IF($B90=Annahmen!$C$19,Annahmen!$C$17,0)+IF(MOD($B90,12)=0,Annahmen!$C$20,0)+IF($B90=Annahmen!$C$8,Annahmen!$C$38,0)))</f>
        <v>0</v>
      </c>
      <c r="F90" s="55" t="n">
        <f aca="false">IF($B90&gt;Annahmen!$C$8,0,IF($B90=0,-(Annahmen!$C$49+Annahmen!$C$41)+Annahmen!$C$77,-Annahmen!$C$46*(1+Annahmen!$C$48)^INT(($B90-1)/Annahmen!$C$47)-Annahmen!$C$6/12/100*Annahmen!$C$36*Annahmen!$C$27*$D90-(Annahmen!$C$53+Annahmen!$C$54)/12+IF($B90=Annahmen!$C$19,Annahmen!$C$17,0)+IF(MOD($B90,12)=0,Annahmen!$C$20,0)-IF(MOD($B90,Annahmen!$C$47)=0,Annahmen!$C$52,0)-IF(AND(MOD($B90,Annahmen!$C$47)=0,$B90&lt;Annahmen!$C$8),Annahmen!$C$49*(1+Annahmen!$C$48)^($B90/Annahmen!$C$47),0)))</f>
        <v>0</v>
      </c>
      <c r="G90" s="55" t="n">
        <f aca="false">IF($B90&gt;Annahmen!$C$8,0,IF($B90=0,-Annahmen!$C$57+Annahmen!$C$77,-Annahmen!$C$6/12/100*Annahmen!$C$58*Annahmen!$C$28*$D90-(Annahmen!$C$61+Annahmen!$C$62+Annahmen!$C$63)/12+IF($B90=Annahmen!$C$8,Annahmen!$C$60,0)))</f>
        <v>0</v>
      </c>
      <c r="H90" s="55" t="n">
        <f aca="false">IF($B90&gt;Annahmen!$C$8,0,IF($B90=0,-Annahmen!$C$66,IF($B90&lt;=Annahmen!$C$67*12,-Annahmen!$C$6/12/100*Annahmen!$C$72*$D90-(Annahmen!$C$73+Annahmen!$C$74+Annahmen!$C$75)/12+IF($B90=Annahmen!$C$67*12,Annahmen!$C$76-(Annahmen!$C$81+Annahmen!$C$41),0),-Annahmen!$C$6/12/100*Annahmen!$C$36*Annahmen!$C$27*$D90-(Annahmen!$C$39+Annahmen!$C$40+Annahmen!$C$42)/12+IF(MOD($B90,12)=0,Annahmen!$C$20,0)+IF($B90=Annahmen!$C$8,Annahmen!$C$82,0))+IF($B90=Annahmen!$C$67*12+Annahmen!$C$19,Annahmen!$C$17*Annahmen!$C$21,0)))</f>
        <v>0</v>
      </c>
      <c r="I90" s="56" t="n">
        <f aca="false">IF($B90&gt;Annahmen!$C$8,0,IF($B90=0,-(Annahmen!$C$86+Annahmen!$C$41)+Annahmen!$C$77,-Annahmen!$C$6/12/100*Annahmen!$C$89*Annahmen!$C$27*$D90-(Annahmen!$C$92+Annahmen!$C$93+Annahmen!$C$94+Annahmen!$C$95)/12+IF(MOD($B90,12)=0,Annahmen!$C$20,0)+IF($B90=Annahmen!$C$8,Annahmen!$C$91,0)))</f>
        <v>0</v>
      </c>
    </row>
    <row r="91" customFormat="false" ht="15" hidden="false" customHeight="true" outlineLevel="0" collapsed="false">
      <c r="B91" s="39" t="n">
        <v>85</v>
      </c>
      <c r="C91" s="57" t="n">
        <f aca="false">1/(1+Annahmen!$C$10)^$B91</f>
        <v>0.811091141777798</v>
      </c>
      <c r="D91" s="57" t="n">
        <f aca="false">(1+Annahmen!$C$11)^INT(MAX($B91-1,0)/12)</f>
        <v>1.14868566764928</v>
      </c>
      <c r="E91" s="58" t="n">
        <f aca="false">IF($B91&gt;Annahmen!$C$8,0,IF($B91=0,-(Annahmen!$C$33+Annahmen!$C$41)+Annahmen!$C$77,-Annahmen!$C$6/12/100*Annahmen!$C$36*Annahmen!$C$27*$D91-(Annahmen!$C$39+Annahmen!$C$40+Annahmen!$C$42)/12+IF($B91=Annahmen!$C$19,Annahmen!$C$17,0)+IF(MOD($B91,12)=0,Annahmen!$C$20,0)+IF($B91=Annahmen!$C$8,Annahmen!$C$38,0)))</f>
        <v>0</v>
      </c>
      <c r="F91" s="58" t="n">
        <f aca="false">IF($B91&gt;Annahmen!$C$8,0,IF($B91=0,-(Annahmen!$C$49+Annahmen!$C$41)+Annahmen!$C$77,-Annahmen!$C$46*(1+Annahmen!$C$48)^INT(($B91-1)/Annahmen!$C$47)-Annahmen!$C$6/12/100*Annahmen!$C$36*Annahmen!$C$27*$D91-(Annahmen!$C$53+Annahmen!$C$54)/12+IF($B91=Annahmen!$C$19,Annahmen!$C$17,0)+IF(MOD($B91,12)=0,Annahmen!$C$20,0)-IF(MOD($B91,Annahmen!$C$47)=0,Annahmen!$C$52,0)-IF(AND(MOD($B91,Annahmen!$C$47)=0,$B91&lt;Annahmen!$C$8),Annahmen!$C$49*(1+Annahmen!$C$48)^($B91/Annahmen!$C$47),0)))</f>
        <v>0</v>
      </c>
      <c r="G91" s="58" t="n">
        <f aca="false">IF($B91&gt;Annahmen!$C$8,0,IF($B91=0,-Annahmen!$C$57+Annahmen!$C$77,-Annahmen!$C$6/12/100*Annahmen!$C$58*Annahmen!$C$28*$D91-(Annahmen!$C$61+Annahmen!$C$62+Annahmen!$C$63)/12+IF($B91=Annahmen!$C$8,Annahmen!$C$60,0)))</f>
        <v>0</v>
      </c>
      <c r="H91" s="58" t="n">
        <f aca="false">IF($B91&gt;Annahmen!$C$8,0,IF($B91=0,-Annahmen!$C$66,IF($B91&lt;=Annahmen!$C$67*12,-Annahmen!$C$6/12/100*Annahmen!$C$72*$D91-(Annahmen!$C$73+Annahmen!$C$74+Annahmen!$C$75)/12+IF($B91=Annahmen!$C$67*12,Annahmen!$C$76-(Annahmen!$C$81+Annahmen!$C$41),0),-Annahmen!$C$6/12/100*Annahmen!$C$36*Annahmen!$C$27*$D91-(Annahmen!$C$39+Annahmen!$C$40+Annahmen!$C$42)/12+IF(MOD($B91,12)=0,Annahmen!$C$20,0)+IF($B91=Annahmen!$C$8,Annahmen!$C$82,0))+IF($B91=Annahmen!$C$67*12+Annahmen!$C$19,Annahmen!$C$17*Annahmen!$C$21,0)))</f>
        <v>0</v>
      </c>
      <c r="I91" s="59" t="n">
        <f aca="false">IF($B91&gt;Annahmen!$C$8,0,IF($B91=0,-(Annahmen!$C$86+Annahmen!$C$41)+Annahmen!$C$77,-Annahmen!$C$6/12/100*Annahmen!$C$89*Annahmen!$C$27*$D91-(Annahmen!$C$92+Annahmen!$C$93+Annahmen!$C$94+Annahmen!$C$95)/12+IF(MOD($B91,12)=0,Annahmen!$C$20,0)+IF($B91=Annahmen!$C$8,Annahmen!$C$91,0)))</f>
        <v>0</v>
      </c>
    </row>
    <row r="92" customFormat="false" ht="15" hidden="false" customHeight="true" outlineLevel="0" collapsed="false">
      <c r="B92" s="39" t="n">
        <v>86</v>
      </c>
      <c r="C92" s="57" t="n">
        <f aca="false">1/(1+Annahmen!$C$10)^$B92</f>
        <v>0.809095693525954</v>
      </c>
      <c r="D92" s="57" t="n">
        <f aca="false">(1+Annahmen!$C$11)^INT(MAX($B92-1,0)/12)</f>
        <v>1.14868566764928</v>
      </c>
      <c r="E92" s="58" t="n">
        <f aca="false">IF($B92&gt;Annahmen!$C$8,0,IF($B92=0,-(Annahmen!$C$33+Annahmen!$C$41)+Annahmen!$C$77,-Annahmen!$C$6/12/100*Annahmen!$C$36*Annahmen!$C$27*$D92-(Annahmen!$C$39+Annahmen!$C$40+Annahmen!$C$42)/12+IF($B92=Annahmen!$C$19,Annahmen!$C$17,0)+IF(MOD($B92,12)=0,Annahmen!$C$20,0)+IF($B92=Annahmen!$C$8,Annahmen!$C$38,0)))</f>
        <v>0</v>
      </c>
      <c r="F92" s="58" t="n">
        <f aca="false">IF($B92&gt;Annahmen!$C$8,0,IF($B92=0,-(Annahmen!$C$49+Annahmen!$C$41)+Annahmen!$C$77,-Annahmen!$C$46*(1+Annahmen!$C$48)^INT(($B92-1)/Annahmen!$C$47)-Annahmen!$C$6/12/100*Annahmen!$C$36*Annahmen!$C$27*$D92-(Annahmen!$C$53+Annahmen!$C$54)/12+IF($B92=Annahmen!$C$19,Annahmen!$C$17,0)+IF(MOD($B92,12)=0,Annahmen!$C$20,0)-IF(MOD($B92,Annahmen!$C$47)=0,Annahmen!$C$52,0)-IF(AND(MOD($B92,Annahmen!$C$47)=0,$B92&lt;Annahmen!$C$8),Annahmen!$C$49*(1+Annahmen!$C$48)^($B92/Annahmen!$C$47),0)))</f>
        <v>0</v>
      </c>
      <c r="G92" s="58" t="n">
        <f aca="false">IF($B92&gt;Annahmen!$C$8,0,IF($B92=0,-Annahmen!$C$57+Annahmen!$C$77,-Annahmen!$C$6/12/100*Annahmen!$C$58*Annahmen!$C$28*$D92-(Annahmen!$C$61+Annahmen!$C$62+Annahmen!$C$63)/12+IF($B92=Annahmen!$C$8,Annahmen!$C$60,0)))</f>
        <v>0</v>
      </c>
      <c r="H92" s="58" t="n">
        <f aca="false">IF($B92&gt;Annahmen!$C$8,0,IF($B92=0,-Annahmen!$C$66,IF($B92&lt;=Annahmen!$C$67*12,-Annahmen!$C$6/12/100*Annahmen!$C$72*$D92-(Annahmen!$C$73+Annahmen!$C$74+Annahmen!$C$75)/12+IF($B92=Annahmen!$C$67*12,Annahmen!$C$76-(Annahmen!$C$81+Annahmen!$C$41),0),-Annahmen!$C$6/12/100*Annahmen!$C$36*Annahmen!$C$27*$D92-(Annahmen!$C$39+Annahmen!$C$40+Annahmen!$C$42)/12+IF(MOD($B92,12)=0,Annahmen!$C$20,0)+IF($B92=Annahmen!$C$8,Annahmen!$C$82,0))+IF($B92=Annahmen!$C$67*12+Annahmen!$C$19,Annahmen!$C$17*Annahmen!$C$21,0)))</f>
        <v>0</v>
      </c>
      <c r="I92" s="59" t="n">
        <f aca="false">IF($B92&gt;Annahmen!$C$8,0,IF($B92=0,-(Annahmen!$C$86+Annahmen!$C$41)+Annahmen!$C$77,-Annahmen!$C$6/12/100*Annahmen!$C$89*Annahmen!$C$27*$D92-(Annahmen!$C$92+Annahmen!$C$93+Annahmen!$C$94+Annahmen!$C$95)/12+IF(MOD($B92,12)=0,Annahmen!$C$20,0)+IF($B92=Annahmen!$C$8,Annahmen!$C$91,0)))</f>
        <v>0</v>
      </c>
    </row>
    <row r="93" customFormat="false" ht="15" hidden="false" customHeight="true" outlineLevel="0" collapsed="false">
      <c r="B93" s="39" t="n">
        <v>87</v>
      </c>
      <c r="C93" s="57" t="n">
        <f aca="false">1/(1+Annahmen!$C$10)^$B93</f>
        <v>0.807105154480388</v>
      </c>
      <c r="D93" s="57" t="n">
        <f aca="false">(1+Annahmen!$C$11)^INT(MAX($B93-1,0)/12)</f>
        <v>1.14868566764928</v>
      </c>
      <c r="E93" s="58" t="n">
        <f aca="false">IF($B93&gt;Annahmen!$C$8,0,IF($B93=0,-(Annahmen!$C$33+Annahmen!$C$41)+Annahmen!$C$77,-Annahmen!$C$6/12/100*Annahmen!$C$36*Annahmen!$C$27*$D93-(Annahmen!$C$39+Annahmen!$C$40+Annahmen!$C$42)/12+IF($B93=Annahmen!$C$19,Annahmen!$C$17,0)+IF(MOD($B93,12)=0,Annahmen!$C$20,0)+IF($B93=Annahmen!$C$8,Annahmen!$C$38,0)))</f>
        <v>0</v>
      </c>
      <c r="F93" s="58" t="n">
        <f aca="false">IF($B93&gt;Annahmen!$C$8,0,IF($B93=0,-(Annahmen!$C$49+Annahmen!$C$41)+Annahmen!$C$77,-Annahmen!$C$46*(1+Annahmen!$C$48)^INT(($B93-1)/Annahmen!$C$47)-Annahmen!$C$6/12/100*Annahmen!$C$36*Annahmen!$C$27*$D93-(Annahmen!$C$53+Annahmen!$C$54)/12+IF($B93=Annahmen!$C$19,Annahmen!$C$17,0)+IF(MOD($B93,12)=0,Annahmen!$C$20,0)-IF(MOD($B93,Annahmen!$C$47)=0,Annahmen!$C$52,0)-IF(AND(MOD($B93,Annahmen!$C$47)=0,$B93&lt;Annahmen!$C$8),Annahmen!$C$49*(1+Annahmen!$C$48)^($B93/Annahmen!$C$47),0)))</f>
        <v>0</v>
      </c>
      <c r="G93" s="58" t="n">
        <f aca="false">IF($B93&gt;Annahmen!$C$8,0,IF($B93=0,-Annahmen!$C$57+Annahmen!$C$77,-Annahmen!$C$6/12/100*Annahmen!$C$58*Annahmen!$C$28*$D93-(Annahmen!$C$61+Annahmen!$C$62+Annahmen!$C$63)/12+IF($B93=Annahmen!$C$8,Annahmen!$C$60,0)))</f>
        <v>0</v>
      </c>
      <c r="H93" s="58" t="n">
        <f aca="false">IF($B93&gt;Annahmen!$C$8,0,IF($B93=0,-Annahmen!$C$66,IF($B93&lt;=Annahmen!$C$67*12,-Annahmen!$C$6/12/100*Annahmen!$C$72*$D93-(Annahmen!$C$73+Annahmen!$C$74+Annahmen!$C$75)/12+IF($B93=Annahmen!$C$67*12,Annahmen!$C$76-(Annahmen!$C$81+Annahmen!$C$41),0),-Annahmen!$C$6/12/100*Annahmen!$C$36*Annahmen!$C$27*$D93-(Annahmen!$C$39+Annahmen!$C$40+Annahmen!$C$42)/12+IF(MOD($B93,12)=0,Annahmen!$C$20,0)+IF($B93=Annahmen!$C$8,Annahmen!$C$82,0))+IF($B93=Annahmen!$C$67*12+Annahmen!$C$19,Annahmen!$C$17*Annahmen!$C$21,0)))</f>
        <v>0</v>
      </c>
      <c r="I93" s="59" t="n">
        <f aca="false">IF($B93&gt;Annahmen!$C$8,0,IF($B93=0,-(Annahmen!$C$86+Annahmen!$C$41)+Annahmen!$C$77,-Annahmen!$C$6/12/100*Annahmen!$C$89*Annahmen!$C$27*$D93-(Annahmen!$C$92+Annahmen!$C$93+Annahmen!$C$94+Annahmen!$C$95)/12+IF(MOD($B93,12)=0,Annahmen!$C$20,0)+IF($B93=Annahmen!$C$8,Annahmen!$C$91,0)))</f>
        <v>0</v>
      </c>
    </row>
    <row r="94" customFormat="false" ht="15" hidden="false" customHeight="true" outlineLevel="0" collapsed="false">
      <c r="B94" s="39" t="n">
        <v>88</v>
      </c>
      <c r="C94" s="57" t="n">
        <f aca="false">1/(1+Annahmen!$C$10)^$B94</f>
        <v>0.805119512563461</v>
      </c>
      <c r="D94" s="57" t="n">
        <f aca="false">(1+Annahmen!$C$11)^INT(MAX($B94-1,0)/12)</f>
        <v>1.14868566764928</v>
      </c>
      <c r="E94" s="58" t="n">
        <f aca="false">IF($B94&gt;Annahmen!$C$8,0,IF($B94=0,-(Annahmen!$C$33+Annahmen!$C$41)+Annahmen!$C$77,-Annahmen!$C$6/12/100*Annahmen!$C$36*Annahmen!$C$27*$D94-(Annahmen!$C$39+Annahmen!$C$40+Annahmen!$C$42)/12+IF($B94=Annahmen!$C$19,Annahmen!$C$17,0)+IF(MOD($B94,12)=0,Annahmen!$C$20,0)+IF($B94=Annahmen!$C$8,Annahmen!$C$38,0)))</f>
        <v>0</v>
      </c>
      <c r="F94" s="58" t="n">
        <f aca="false">IF($B94&gt;Annahmen!$C$8,0,IF($B94=0,-(Annahmen!$C$49+Annahmen!$C$41)+Annahmen!$C$77,-Annahmen!$C$46*(1+Annahmen!$C$48)^INT(($B94-1)/Annahmen!$C$47)-Annahmen!$C$6/12/100*Annahmen!$C$36*Annahmen!$C$27*$D94-(Annahmen!$C$53+Annahmen!$C$54)/12+IF($B94=Annahmen!$C$19,Annahmen!$C$17,0)+IF(MOD($B94,12)=0,Annahmen!$C$20,0)-IF(MOD($B94,Annahmen!$C$47)=0,Annahmen!$C$52,0)-IF(AND(MOD($B94,Annahmen!$C$47)=0,$B94&lt;Annahmen!$C$8),Annahmen!$C$49*(1+Annahmen!$C$48)^($B94/Annahmen!$C$47),0)))</f>
        <v>0</v>
      </c>
      <c r="G94" s="58" t="n">
        <f aca="false">IF($B94&gt;Annahmen!$C$8,0,IF($B94=0,-Annahmen!$C$57+Annahmen!$C$77,-Annahmen!$C$6/12/100*Annahmen!$C$58*Annahmen!$C$28*$D94-(Annahmen!$C$61+Annahmen!$C$62+Annahmen!$C$63)/12+IF($B94=Annahmen!$C$8,Annahmen!$C$60,0)))</f>
        <v>0</v>
      </c>
      <c r="H94" s="58" t="n">
        <f aca="false">IF($B94&gt;Annahmen!$C$8,0,IF($B94=0,-Annahmen!$C$66,IF($B94&lt;=Annahmen!$C$67*12,-Annahmen!$C$6/12/100*Annahmen!$C$72*$D94-(Annahmen!$C$73+Annahmen!$C$74+Annahmen!$C$75)/12+IF($B94=Annahmen!$C$67*12,Annahmen!$C$76-(Annahmen!$C$81+Annahmen!$C$41),0),-Annahmen!$C$6/12/100*Annahmen!$C$36*Annahmen!$C$27*$D94-(Annahmen!$C$39+Annahmen!$C$40+Annahmen!$C$42)/12+IF(MOD($B94,12)=0,Annahmen!$C$20,0)+IF($B94=Annahmen!$C$8,Annahmen!$C$82,0))+IF($B94=Annahmen!$C$67*12+Annahmen!$C$19,Annahmen!$C$17*Annahmen!$C$21,0)))</f>
        <v>0</v>
      </c>
      <c r="I94" s="59" t="n">
        <f aca="false">IF($B94&gt;Annahmen!$C$8,0,IF($B94=0,-(Annahmen!$C$86+Annahmen!$C$41)+Annahmen!$C$77,-Annahmen!$C$6/12/100*Annahmen!$C$89*Annahmen!$C$27*$D94-(Annahmen!$C$92+Annahmen!$C$93+Annahmen!$C$94+Annahmen!$C$95)/12+IF(MOD($B94,12)=0,Annahmen!$C$20,0)+IF($B94=Annahmen!$C$8,Annahmen!$C$91,0)))</f>
        <v>0</v>
      </c>
    </row>
    <row r="95" customFormat="false" ht="15" hidden="false" customHeight="true" outlineLevel="0" collapsed="false">
      <c r="B95" s="39" t="n">
        <v>89</v>
      </c>
      <c r="C95" s="57" t="n">
        <f aca="false">1/(1+Annahmen!$C$10)^$B95</f>
        <v>0.803138755727246</v>
      </c>
      <c r="D95" s="57" t="n">
        <f aca="false">(1+Annahmen!$C$11)^INT(MAX($B95-1,0)/12)</f>
        <v>1.14868566764928</v>
      </c>
      <c r="E95" s="58" t="n">
        <f aca="false">IF($B95&gt;Annahmen!$C$8,0,IF($B95=0,-(Annahmen!$C$33+Annahmen!$C$41)+Annahmen!$C$77,-Annahmen!$C$6/12/100*Annahmen!$C$36*Annahmen!$C$27*$D95-(Annahmen!$C$39+Annahmen!$C$40+Annahmen!$C$42)/12+IF($B95=Annahmen!$C$19,Annahmen!$C$17,0)+IF(MOD($B95,12)=0,Annahmen!$C$20,0)+IF($B95=Annahmen!$C$8,Annahmen!$C$38,0)))</f>
        <v>0</v>
      </c>
      <c r="F95" s="58" t="n">
        <f aca="false">IF($B95&gt;Annahmen!$C$8,0,IF($B95=0,-(Annahmen!$C$49+Annahmen!$C$41)+Annahmen!$C$77,-Annahmen!$C$46*(1+Annahmen!$C$48)^INT(($B95-1)/Annahmen!$C$47)-Annahmen!$C$6/12/100*Annahmen!$C$36*Annahmen!$C$27*$D95-(Annahmen!$C$53+Annahmen!$C$54)/12+IF($B95=Annahmen!$C$19,Annahmen!$C$17,0)+IF(MOD($B95,12)=0,Annahmen!$C$20,0)-IF(MOD($B95,Annahmen!$C$47)=0,Annahmen!$C$52,0)-IF(AND(MOD($B95,Annahmen!$C$47)=0,$B95&lt;Annahmen!$C$8),Annahmen!$C$49*(1+Annahmen!$C$48)^($B95/Annahmen!$C$47),0)))</f>
        <v>0</v>
      </c>
      <c r="G95" s="58" t="n">
        <f aca="false">IF($B95&gt;Annahmen!$C$8,0,IF($B95=0,-Annahmen!$C$57+Annahmen!$C$77,-Annahmen!$C$6/12/100*Annahmen!$C$58*Annahmen!$C$28*$D95-(Annahmen!$C$61+Annahmen!$C$62+Annahmen!$C$63)/12+IF($B95=Annahmen!$C$8,Annahmen!$C$60,0)))</f>
        <v>0</v>
      </c>
      <c r="H95" s="58" t="n">
        <f aca="false">IF($B95&gt;Annahmen!$C$8,0,IF($B95=0,-Annahmen!$C$66,IF($B95&lt;=Annahmen!$C$67*12,-Annahmen!$C$6/12/100*Annahmen!$C$72*$D95-(Annahmen!$C$73+Annahmen!$C$74+Annahmen!$C$75)/12+IF($B95=Annahmen!$C$67*12,Annahmen!$C$76-(Annahmen!$C$81+Annahmen!$C$41),0),-Annahmen!$C$6/12/100*Annahmen!$C$36*Annahmen!$C$27*$D95-(Annahmen!$C$39+Annahmen!$C$40+Annahmen!$C$42)/12+IF(MOD($B95,12)=0,Annahmen!$C$20,0)+IF($B95=Annahmen!$C$8,Annahmen!$C$82,0))+IF($B95=Annahmen!$C$67*12+Annahmen!$C$19,Annahmen!$C$17*Annahmen!$C$21,0)))</f>
        <v>0</v>
      </c>
      <c r="I95" s="59" t="n">
        <f aca="false">IF($B95&gt;Annahmen!$C$8,0,IF($B95=0,-(Annahmen!$C$86+Annahmen!$C$41)+Annahmen!$C$77,-Annahmen!$C$6/12/100*Annahmen!$C$89*Annahmen!$C$27*$D95-(Annahmen!$C$92+Annahmen!$C$93+Annahmen!$C$94+Annahmen!$C$95)/12+IF(MOD($B95,12)=0,Annahmen!$C$20,0)+IF($B95=Annahmen!$C$8,Annahmen!$C$91,0)))</f>
        <v>0</v>
      </c>
    </row>
    <row r="96" customFormat="false" ht="15" hidden="false" customHeight="true" outlineLevel="0" collapsed="false">
      <c r="B96" s="39" t="n">
        <v>90</v>
      </c>
      <c r="C96" s="57" t="n">
        <f aca="false">1/(1+Annahmen!$C$10)^$B96</f>
        <v>0.801162871953455</v>
      </c>
      <c r="D96" s="57" t="n">
        <f aca="false">(1+Annahmen!$C$11)^INT(MAX($B96-1,0)/12)</f>
        <v>1.14868566764928</v>
      </c>
      <c r="E96" s="58" t="n">
        <f aca="false">IF($B96&gt;Annahmen!$C$8,0,IF($B96=0,-(Annahmen!$C$33+Annahmen!$C$41)+Annahmen!$C$77,-Annahmen!$C$6/12/100*Annahmen!$C$36*Annahmen!$C$27*$D96-(Annahmen!$C$39+Annahmen!$C$40+Annahmen!$C$42)/12+IF($B96=Annahmen!$C$19,Annahmen!$C$17,0)+IF(MOD($B96,12)=0,Annahmen!$C$20,0)+IF($B96=Annahmen!$C$8,Annahmen!$C$38,0)))</f>
        <v>0</v>
      </c>
      <c r="F96" s="58" t="n">
        <f aca="false">IF($B96&gt;Annahmen!$C$8,0,IF($B96=0,-(Annahmen!$C$49+Annahmen!$C$41)+Annahmen!$C$77,-Annahmen!$C$46*(1+Annahmen!$C$48)^INT(($B96-1)/Annahmen!$C$47)-Annahmen!$C$6/12/100*Annahmen!$C$36*Annahmen!$C$27*$D96-(Annahmen!$C$53+Annahmen!$C$54)/12+IF($B96=Annahmen!$C$19,Annahmen!$C$17,0)+IF(MOD($B96,12)=0,Annahmen!$C$20,0)-IF(MOD($B96,Annahmen!$C$47)=0,Annahmen!$C$52,0)-IF(AND(MOD($B96,Annahmen!$C$47)=0,$B96&lt;Annahmen!$C$8),Annahmen!$C$49*(1+Annahmen!$C$48)^($B96/Annahmen!$C$47),0)))</f>
        <v>0</v>
      </c>
      <c r="G96" s="58" t="n">
        <f aca="false">IF($B96&gt;Annahmen!$C$8,0,IF($B96=0,-Annahmen!$C$57+Annahmen!$C$77,-Annahmen!$C$6/12/100*Annahmen!$C$58*Annahmen!$C$28*$D96-(Annahmen!$C$61+Annahmen!$C$62+Annahmen!$C$63)/12+IF($B96=Annahmen!$C$8,Annahmen!$C$60,0)))</f>
        <v>0</v>
      </c>
      <c r="H96" s="58" t="n">
        <f aca="false">IF($B96&gt;Annahmen!$C$8,0,IF($B96=0,-Annahmen!$C$66,IF($B96&lt;=Annahmen!$C$67*12,-Annahmen!$C$6/12/100*Annahmen!$C$72*$D96-(Annahmen!$C$73+Annahmen!$C$74+Annahmen!$C$75)/12+IF($B96=Annahmen!$C$67*12,Annahmen!$C$76-(Annahmen!$C$81+Annahmen!$C$41),0),-Annahmen!$C$6/12/100*Annahmen!$C$36*Annahmen!$C$27*$D96-(Annahmen!$C$39+Annahmen!$C$40+Annahmen!$C$42)/12+IF(MOD($B96,12)=0,Annahmen!$C$20,0)+IF($B96=Annahmen!$C$8,Annahmen!$C$82,0))+IF($B96=Annahmen!$C$67*12+Annahmen!$C$19,Annahmen!$C$17*Annahmen!$C$21,0)))</f>
        <v>0</v>
      </c>
      <c r="I96" s="59" t="n">
        <f aca="false">IF($B96&gt;Annahmen!$C$8,0,IF($B96=0,-(Annahmen!$C$86+Annahmen!$C$41)+Annahmen!$C$77,-Annahmen!$C$6/12/100*Annahmen!$C$89*Annahmen!$C$27*$D96-(Annahmen!$C$92+Annahmen!$C$93+Annahmen!$C$94+Annahmen!$C$95)/12+IF(MOD($B96,12)=0,Annahmen!$C$20,0)+IF($B96=Annahmen!$C$8,Annahmen!$C$91,0)))</f>
        <v>0</v>
      </c>
    </row>
    <row r="97" customFormat="false" ht="15" hidden="false" customHeight="true" outlineLevel="0" collapsed="false">
      <c r="B97" s="39" t="n">
        <v>91</v>
      </c>
      <c r="C97" s="57" t="n">
        <f aca="false">1/(1+Annahmen!$C$10)^$B97</f>
        <v>0.79919184925337</v>
      </c>
      <c r="D97" s="57" t="n">
        <f aca="false">(1+Annahmen!$C$11)^INT(MAX($B97-1,0)/12)</f>
        <v>1.14868566764928</v>
      </c>
      <c r="E97" s="58" t="n">
        <f aca="false">IF($B97&gt;Annahmen!$C$8,0,IF($B97=0,-(Annahmen!$C$33+Annahmen!$C$41)+Annahmen!$C$77,-Annahmen!$C$6/12/100*Annahmen!$C$36*Annahmen!$C$27*$D97-(Annahmen!$C$39+Annahmen!$C$40+Annahmen!$C$42)/12+IF($B97=Annahmen!$C$19,Annahmen!$C$17,0)+IF(MOD($B97,12)=0,Annahmen!$C$20,0)+IF($B97=Annahmen!$C$8,Annahmen!$C$38,0)))</f>
        <v>0</v>
      </c>
      <c r="F97" s="58" t="n">
        <f aca="false">IF($B97&gt;Annahmen!$C$8,0,IF($B97=0,-(Annahmen!$C$49+Annahmen!$C$41)+Annahmen!$C$77,-Annahmen!$C$46*(1+Annahmen!$C$48)^INT(($B97-1)/Annahmen!$C$47)-Annahmen!$C$6/12/100*Annahmen!$C$36*Annahmen!$C$27*$D97-(Annahmen!$C$53+Annahmen!$C$54)/12+IF($B97=Annahmen!$C$19,Annahmen!$C$17,0)+IF(MOD($B97,12)=0,Annahmen!$C$20,0)-IF(MOD($B97,Annahmen!$C$47)=0,Annahmen!$C$52,0)-IF(AND(MOD($B97,Annahmen!$C$47)=0,$B97&lt;Annahmen!$C$8),Annahmen!$C$49*(1+Annahmen!$C$48)^($B97/Annahmen!$C$47),0)))</f>
        <v>0</v>
      </c>
      <c r="G97" s="58" t="n">
        <f aca="false">IF($B97&gt;Annahmen!$C$8,0,IF($B97=0,-Annahmen!$C$57+Annahmen!$C$77,-Annahmen!$C$6/12/100*Annahmen!$C$58*Annahmen!$C$28*$D97-(Annahmen!$C$61+Annahmen!$C$62+Annahmen!$C$63)/12+IF($B97=Annahmen!$C$8,Annahmen!$C$60,0)))</f>
        <v>0</v>
      </c>
      <c r="H97" s="58" t="n">
        <f aca="false">IF($B97&gt;Annahmen!$C$8,0,IF($B97=0,-Annahmen!$C$66,IF($B97&lt;=Annahmen!$C$67*12,-Annahmen!$C$6/12/100*Annahmen!$C$72*$D97-(Annahmen!$C$73+Annahmen!$C$74+Annahmen!$C$75)/12+IF($B97=Annahmen!$C$67*12,Annahmen!$C$76-(Annahmen!$C$81+Annahmen!$C$41),0),-Annahmen!$C$6/12/100*Annahmen!$C$36*Annahmen!$C$27*$D97-(Annahmen!$C$39+Annahmen!$C$40+Annahmen!$C$42)/12+IF(MOD($B97,12)=0,Annahmen!$C$20,0)+IF($B97=Annahmen!$C$8,Annahmen!$C$82,0))+IF($B97=Annahmen!$C$67*12+Annahmen!$C$19,Annahmen!$C$17*Annahmen!$C$21,0)))</f>
        <v>0</v>
      </c>
      <c r="I97" s="59" t="n">
        <f aca="false">IF($B97&gt;Annahmen!$C$8,0,IF($B97=0,-(Annahmen!$C$86+Annahmen!$C$41)+Annahmen!$C$77,-Annahmen!$C$6/12/100*Annahmen!$C$89*Annahmen!$C$27*$D97-(Annahmen!$C$92+Annahmen!$C$93+Annahmen!$C$94+Annahmen!$C$95)/12+IF(MOD($B97,12)=0,Annahmen!$C$20,0)+IF($B97=Annahmen!$C$8,Annahmen!$C$91,0)))</f>
        <v>0</v>
      </c>
    </row>
    <row r="98" customFormat="false" ht="15" hidden="false" customHeight="true" outlineLevel="0" collapsed="false">
      <c r="B98" s="39" t="n">
        <v>92</v>
      </c>
      <c r="C98" s="57" t="n">
        <f aca="false">1/(1+Annahmen!$C$10)^$B98</f>
        <v>0.797225675667766</v>
      </c>
      <c r="D98" s="57" t="n">
        <f aca="false">(1+Annahmen!$C$11)^INT(MAX($B98-1,0)/12)</f>
        <v>1.14868566764928</v>
      </c>
      <c r="E98" s="58" t="n">
        <f aca="false">IF($B98&gt;Annahmen!$C$8,0,IF($B98=0,-(Annahmen!$C$33+Annahmen!$C$41)+Annahmen!$C$77,-Annahmen!$C$6/12/100*Annahmen!$C$36*Annahmen!$C$27*$D98-(Annahmen!$C$39+Annahmen!$C$40+Annahmen!$C$42)/12+IF($B98=Annahmen!$C$19,Annahmen!$C$17,0)+IF(MOD($B98,12)=0,Annahmen!$C$20,0)+IF($B98=Annahmen!$C$8,Annahmen!$C$38,0)))</f>
        <v>0</v>
      </c>
      <c r="F98" s="58" t="n">
        <f aca="false">IF($B98&gt;Annahmen!$C$8,0,IF($B98=0,-(Annahmen!$C$49+Annahmen!$C$41)+Annahmen!$C$77,-Annahmen!$C$46*(1+Annahmen!$C$48)^INT(($B98-1)/Annahmen!$C$47)-Annahmen!$C$6/12/100*Annahmen!$C$36*Annahmen!$C$27*$D98-(Annahmen!$C$53+Annahmen!$C$54)/12+IF($B98=Annahmen!$C$19,Annahmen!$C$17,0)+IF(MOD($B98,12)=0,Annahmen!$C$20,0)-IF(MOD($B98,Annahmen!$C$47)=0,Annahmen!$C$52,0)-IF(AND(MOD($B98,Annahmen!$C$47)=0,$B98&lt;Annahmen!$C$8),Annahmen!$C$49*(1+Annahmen!$C$48)^($B98/Annahmen!$C$47),0)))</f>
        <v>0</v>
      </c>
      <c r="G98" s="58" t="n">
        <f aca="false">IF($B98&gt;Annahmen!$C$8,0,IF($B98=0,-Annahmen!$C$57+Annahmen!$C$77,-Annahmen!$C$6/12/100*Annahmen!$C$58*Annahmen!$C$28*$D98-(Annahmen!$C$61+Annahmen!$C$62+Annahmen!$C$63)/12+IF($B98=Annahmen!$C$8,Annahmen!$C$60,0)))</f>
        <v>0</v>
      </c>
      <c r="H98" s="58" t="n">
        <f aca="false">IF($B98&gt;Annahmen!$C$8,0,IF($B98=0,-Annahmen!$C$66,IF($B98&lt;=Annahmen!$C$67*12,-Annahmen!$C$6/12/100*Annahmen!$C$72*$D98-(Annahmen!$C$73+Annahmen!$C$74+Annahmen!$C$75)/12+IF($B98=Annahmen!$C$67*12,Annahmen!$C$76-(Annahmen!$C$81+Annahmen!$C$41),0),-Annahmen!$C$6/12/100*Annahmen!$C$36*Annahmen!$C$27*$D98-(Annahmen!$C$39+Annahmen!$C$40+Annahmen!$C$42)/12+IF(MOD($B98,12)=0,Annahmen!$C$20,0)+IF($B98=Annahmen!$C$8,Annahmen!$C$82,0))+IF($B98=Annahmen!$C$67*12+Annahmen!$C$19,Annahmen!$C$17*Annahmen!$C$21,0)))</f>
        <v>0</v>
      </c>
      <c r="I98" s="59" t="n">
        <f aca="false">IF($B98&gt;Annahmen!$C$8,0,IF($B98=0,-(Annahmen!$C$86+Annahmen!$C$41)+Annahmen!$C$77,-Annahmen!$C$6/12/100*Annahmen!$C$89*Annahmen!$C$27*$D98-(Annahmen!$C$92+Annahmen!$C$93+Annahmen!$C$94+Annahmen!$C$95)/12+IF(MOD($B98,12)=0,Annahmen!$C$20,0)+IF($B98=Annahmen!$C$8,Annahmen!$C$91,0)))</f>
        <v>0</v>
      </c>
    </row>
    <row r="99" customFormat="false" ht="15" hidden="false" customHeight="true" outlineLevel="0" collapsed="false">
      <c r="B99" s="39" t="n">
        <v>93</v>
      </c>
      <c r="C99" s="57" t="n">
        <f aca="false">1/(1+Annahmen!$C$10)^$B99</f>
        <v>0.795264339266841</v>
      </c>
      <c r="D99" s="57" t="n">
        <f aca="false">(1+Annahmen!$C$11)^INT(MAX($B99-1,0)/12)</f>
        <v>1.14868566764928</v>
      </c>
      <c r="E99" s="58" t="n">
        <f aca="false">IF($B99&gt;Annahmen!$C$8,0,IF($B99=0,-(Annahmen!$C$33+Annahmen!$C$41)+Annahmen!$C$77,-Annahmen!$C$6/12/100*Annahmen!$C$36*Annahmen!$C$27*$D99-(Annahmen!$C$39+Annahmen!$C$40+Annahmen!$C$42)/12+IF($B99=Annahmen!$C$19,Annahmen!$C$17,0)+IF(MOD($B99,12)=0,Annahmen!$C$20,0)+IF($B99=Annahmen!$C$8,Annahmen!$C$38,0)))</f>
        <v>0</v>
      </c>
      <c r="F99" s="58" t="n">
        <f aca="false">IF($B99&gt;Annahmen!$C$8,0,IF($B99=0,-(Annahmen!$C$49+Annahmen!$C$41)+Annahmen!$C$77,-Annahmen!$C$46*(1+Annahmen!$C$48)^INT(($B99-1)/Annahmen!$C$47)-Annahmen!$C$6/12/100*Annahmen!$C$36*Annahmen!$C$27*$D99-(Annahmen!$C$53+Annahmen!$C$54)/12+IF($B99=Annahmen!$C$19,Annahmen!$C$17,0)+IF(MOD($B99,12)=0,Annahmen!$C$20,0)-IF(MOD($B99,Annahmen!$C$47)=0,Annahmen!$C$52,0)-IF(AND(MOD($B99,Annahmen!$C$47)=0,$B99&lt;Annahmen!$C$8),Annahmen!$C$49*(1+Annahmen!$C$48)^($B99/Annahmen!$C$47),0)))</f>
        <v>0</v>
      </c>
      <c r="G99" s="58" t="n">
        <f aca="false">IF($B99&gt;Annahmen!$C$8,0,IF($B99=0,-Annahmen!$C$57+Annahmen!$C$77,-Annahmen!$C$6/12/100*Annahmen!$C$58*Annahmen!$C$28*$D99-(Annahmen!$C$61+Annahmen!$C$62+Annahmen!$C$63)/12+IF($B99=Annahmen!$C$8,Annahmen!$C$60,0)))</f>
        <v>0</v>
      </c>
      <c r="H99" s="58" t="n">
        <f aca="false">IF($B99&gt;Annahmen!$C$8,0,IF($B99=0,-Annahmen!$C$66,IF($B99&lt;=Annahmen!$C$67*12,-Annahmen!$C$6/12/100*Annahmen!$C$72*$D99-(Annahmen!$C$73+Annahmen!$C$74+Annahmen!$C$75)/12+IF($B99=Annahmen!$C$67*12,Annahmen!$C$76-(Annahmen!$C$81+Annahmen!$C$41),0),-Annahmen!$C$6/12/100*Annahmen!$C$36*Annahmen!$C$27*$D99-(Annahmen!$C$39+Annahmen!$C$40+Annahmen!$C$42)/12+IF(MOD($B99,12)=0,Annahmen!$C$20,0)+IF($B99=Annahmen!$C$8,Annahmen!$C$82,0))+IF($B99=Annahmen!$C$67*12+Annahmen!$C$19,Annahmen!$C$17*Annahmen!$C$21,0)))</f>
        <v>0</v>
      </c>
      <c r="I99" s="59" t="n">
        <f aca="false">IF($B99&gt;Annahmen!$C$8,0,IF($B99=0,-(Annahmen!$C$86+Annahmen!$C$41)+Annahmen!$C$77,-Annahmen!$C$6/12/100*Annahmen!$C$89*Annahmen!$C$27*$D99-(Annahmen!$C$92+Annahmen!$C$93+Annahmen!$C$94+Annahmen!$C$95)/12+IF(MOD($B99,12)=0,Annahmen!$C$20,0)+IF($B99=Annahmen!$C$8,Annahmen!$C$91,0)))</f>
        <v>0</v>
      </c>
    </row>
    <row r="100" customFormat="false" ht="15" hidden="false" customHeight="true" outlineLevel="0" collapsed="false">
      <c r="B100" s="39" t="n">
        <v>94</v>
      </c>
      <c r="C100" s="57" t="n">
        <f aca="false">1/(1+Annahmen!$C$10)^$B100</f>
        <v>0.793307828150142</v>
      </c>
      <c r="D100" s="57" t="n">
        <f aca="false">(1+Annahmen!$C$11)^INT(MAX($B100-1,0)/12)</f>
        <v>1.14868566764928</v>
      </c>
      <c r="E100" s="58" t="n">
        <f aca="false">IF($B100&gt;Annahmen!$C$8,0,IF($B100=0,-(Annahmen!$C$33+Annahmen!$C$41)+Annahmen!$C$77,-Annahmen!$C$6/12/100*Annahmen!$C$36*Annahmen!$C$27*$D100-(Annahmen!$C$39+Annahmen!$C$40+Annahmen!$C$42)/12+IF($B100=Annahmen!$C$19,Annahmen!$C$17,0)+IF(MOD($B100,12)=0,Annahmen!$C$20,0)+IF($B100=Annahmen!$C$8,Annahmen!$C$38,0)))</f>
        <v>0</v>
      </c>
      <c r="F100" s="58" t="n">
        <f aca="false">IF($B100&gt;Annahmen!$C$8,0,IF($B100=0,-(Annahmen!$C$49+Annahmen!$C$41)+Annahmen!$C$77,-Annahmen!$C$46*(1+Annahmen!$C$48)^INT(($B100-1)/Annahmen!$C$47)-Annahmen!$C$6/12/100*Annahmen!$C$36*Annahmen!$C$27*$D100-(Annahmen!$C$53+Annahmen!$C$54)/12+IF($B100=Annahmen!$C$19,Annahmen!$C$17,0)+IF(MOD($B100,12)=0,Annahmen!$C$20,0)-IF(MOD($B100,Annahmen!$C$47)=0,Annahmen!$C$52,0)-IF(AND(MOD($B100,Annahmen!$C$47)=0,$B100&lt;Annahmen!$C$8),Annahmen!$C$49*(1+Annahmen!$C$48)^($B100/Annahmen!$C$47),0)))</f>
        <v>0</v>
      </c>
      <c r="G100" s="58" t="n">
        <f aca="false">IF($B100&gt;Annahmen!$C$8,0,IF($B100=0,-Annahmen!$C$57+Annahmen!$C$77,-Annahmen!$C$6/12/100*Annahmen!$C$58*Annahmen!$C$28*$D100-(Annahmen!$C$61+Annahmen!$C$62+Annahmen!$C$63)/12+IF($B100=Annahmen!$C$8,Annahmen!$C$60,0)))</f>
        <v>0</v>
      </c>
      <c r="H100" s="58" t="n">
        <f aca="false">IF($B100&gt;Annahmen!$C$8,0,IF($B100=0,-Annahmen!$C$66,IF($B100&lt;=Annahmen!$C$67*12,-Annahmen!$C$6/12/100*Annahmen!$C$72*$D100-(Annahmen!$C$73+Annahmen!$C$74+Annahmen!$C$75)/12+IF($B100=Annahmen!$C$67*12,Annahmen!$C$76-(Annahmen!$C$81+Annahmen!$C$41),0),-Annahmen!$C$6/12/100*Annahmen!$C$36*Annahmen!$C$27*$D100-(Annahmen!$C$39+Annahmen!$C$40+Annahmen!$C$42)/12+IF(MOD($B100,12)=0,Annahmen!$C$20,0)+IF($B100=Annahmen!$C$8,Annahmen!$C$82,0))+IF($B100=Annahmen!$C$67*12+Annahmen!$C$19,Annahmen!$C$17*Annahmen!$C$21,0)))</f>
        <v>0</v>
      </c>
      <c r="I100" s="59" t="n">
        <f aca="false">IF($B100&gt;Annahmen!$C$8,0,IF($B100=0,-(Annahmen!$C$86+Annahmen!$C$41)+Annahmen!$C$77,-Annahmen!$C$6/12/100*Annahmen!$C$89*Annahmen!$C$27*$D100-(Annahmen!$C$92+Annahmen!$C$93+Annahmen!$C$94+Annahmen!$C$95)/12+IF(MOD($B100,12)=0,Annahmen!$C$20,0)+IF($B100=Annahmen!$C$8,Annahmen!$C$91,0)))</f>
        <v>0</v>
      </c>
    </row>
    <row r="101" customFormat="false" ht="15" hidden="false" customHeight="true" outlineLevel="0" collapsed="false">
      <c r="B101" s="39" t="n">
        <v>95</v>
      </c>
      <c r="C101" s="57" t="n">
        <f aca="false">1/(1+Annahmen!$C$10)^$B101</f>
        <v>0.791356130446495</v>
      </c>
      <c r="D101" s="57" t="n">
        <f aca="false">(1+Annahmen!$C$11)^INT(MAX($B101-1,0)/12)</f>
        <v>1.14868566764928</v>
      </c>
      <c r="E101" s="58" t="n">
        <f aca="false">IF($B101&gt;Annahmen!$C$8,0,IF($B101=0,-(Annahmen!$C$33+Annahmen!$C$41)+Annahmen!$C$77,-Annahmen!$C$6/12/100*Annahmen!$C$36*Annahmen!$C$27*$D101-(Annahmen!$C$39+Annahmen!$C$40+Annahmen!$C$42)/12+IF($B101=Annahmen!$C$19,Annahmen!$C$17,0)+IF(MOD($B101,12)=0,Annahmen!$C$20,0)+IF($B101=Annahmen!$C$8,Annahmen!$C$38,0)))</f>
        <v>0</v>
      </c>
      <c r="F101" s="58" t="n">
        <f aca="false">IF($B101&gt;Annahmen!$C$8,0,IF($B101=0,-(Annahmen!$C$49+Annahmen!$C$41)+Annahmen!$C$77,-Annahmen!$C$46*(1+Annahmen!$C$48)^INT(($B101-1)/Annahmen!$C$47)-Annahmen!$C$6/12/100*Annahmen!$C$36*Annahmen!$C$27*$D101-(Annahmen!$C$53+Annahmen!$C$54)/12+IF($B101=Annahmen!$C$19,Annahmen!$C$17,0)+IF(MOD($B101,12)=0,Annahmen!$C$20,0)-IF(MOD($B101,Annahmen!$C$47)=0,Annahmen!$C$52,0)-IF(AND(MOD($B101,Annahmen!$C$47)=0,$B101&lt;Annahmen!$C$8),Annahmen!$C$49*(1+Annahmen!$C$48)^($B101/Annahmen!$C$47),0)))</f>
        <v>0</v>
      </c>
      <c r="G101" s="58" t="n">
        <f aca="false">IF($B101&gt;Annahmen!$C$8,0,IF($B101=0,-Annahmen!$C$57+Annahmen!$C$77,-Annahmen!$C$6/12/100*Annahmen!$C$58*Annahmen!$C$28*$D101-(Annahmen!$C$61+Annahmen!$C$62+Annahmen!$C$63)/12+IF($B101=Annahmen!$C$8,Annahmen!$C$60,0)))</f>
        <v>0</v>
      </c>
      <c r="H101" s="58" t="n">
        <f aca="false">IF($B101&gt;Annahmen!$C$8,0,IF($B101=0,-Annahmen!$C$66,IF($B101&lt;=Annahmen!$C$67*12,-Annahmen!$C$6/12/100*Annahmen!$C$72*$D101-(Annahmen!$C$73+Annahmen!$C$74+Annahmen!$C$75)/12+IF($B101=Annahmen!$C$67*12,Annahmen!$C$76-(Annahmen!$C$81+Annahmen!$C$41),0),-Annahmen!$C$6/12/100*Annahmen!$C$36*Annahmen!$C$27*$D101-(Annahmen!$C$39+Annahmen!$C$40+Annahmen!$C$42)/12+IF(MOD($B101,12)=0,Annahmen!$C$20,0)+IF($B101=Annahmen!$C$8,Annahmen!$C$82,0))+IF($B101=Annahmen!$C$67*12+Annahmen!$C$19,Annahmen!$C$17*Annahmen!$C$21,0)))</f>
        <v>0</v>
      </c>
      <c r="I101" s="59" t="n">
        <f aca="false">IF($B101&gt;Annahmen!$C$8,0,IF($B101=0,-(Annahmen!$C$86+Annahmen!$C$41)+Annahmen!$C$77,-Annahmen!$C$6/12/100*Annahmen!$C$89*Annahmen!$C$27*$D101-(Annahmen!$C$92+Annahmen!$C$93+Annahmen!$C$94+Annahmen!$C$95)/12+IF(MOD($B101,12)=0,Annahmen!$C$20,0)+IF($B101=Annahmen!$C$8,Annahmen!$C$91,0)))</f>
        <v>0</v>
      </c>
    </row>
    <row r="102" customFormat="false" ht="15" hidden="false" customHeight="true" outlineLevel="0" collapsed="false">
      <c r="B102" s="53" t="n">
        <v>96</v>
      </c>
      <c r="C102" s="54" t="n">
        <f aca="false">1/(1+Annahmen!$C$10)^$B102</f>
        <v>0.789409234313929</v>
      </c>
      <c r="D102" s="54" t="n">
        <f aca="false">(1+Annahmen!$C$11)^INT(MAX($B102-1,0)/12)</f>
        <v>1.14868566764928</v>
      </c>
      <c r="E102" s="55" t="n">
        <f aca="false">IF($B102&gt;Annahmen!$C$8,0,IF($B102=0,-(Annahmen!$C$33+Annahmen!$C$41)+Annahmen!$C$77,-Annahmen!$C$6/12/100*Annahmen!$C$36*Annahmen!$C$27*$D102-(Annahmen!$C$39+Annahmen!$C$40+Annahmen!$C$42)/12+IF($B102=Annahmen!$C$19,Annahmen!$C$17,0)+IF(MOD($B102,12)=0,Annahmen!$C$20,0)+IF($B102=Annahmen!$C$8,Annahmen!$C$38,0)))</f>
        <v>0</v>
      </c>
      <c r="F102" s="55" t="n">
        <f aca="false">IF($B102&gt;Annahmen!$C$8,0,IF($B102=0,-(Annahmen!$C$49+Annahmen!$C$41)+Annahmen!$C$77,-Annahmen!$C$46*(1+Annahmen!$C$48)^INT(($B102-1)/Annahmen!$C$47)-Annahmen!$C$6/12/100*Annahmen!$C$36*Annahmen!$C$27*$D102-(Annahmen!$C$53+Annahmen!$C$54)/12+IF($B102=Annahmen!$C$19,Annahmen!$C$17,0)+IF(MOD($B102,12)=0,Annahmen!$C$20,0)-IF(MOD($B102,Annahmen!$C$47)=0,Annahmen!$C$52,0)-IF(AND(MOD($B102,Annahmen!$C$47)=0,$B102&lt;Annahmen!$C$8),Annahmen!$C$49*(1+Annahmen!$C$48)^($B102/Annahmen!$C$47),0)))</f>
        <v>0</v>
      </c>
      <c r="G102" s="55" t="n">
        <f aca="false">IF($B102&gt;Annahmen!$C$8,0,IF($B102=0,-Annahmen!$C$57+Annahmen!$C$77,-Annahmen!$C$6/12/100*Annahmen!$C$58*Annahmen!$C$28*$D102-(Annahmen!$C$61+Annahmen!$C$62+Annahmen!$C$63)/12+IF($B102=Annahmen!$C$8,Annahmen!$C$60,0)))</f>
        <v>0</v>
      </c>
      <c r="H102" s="55" t="n">
        <f aca="false">IF($B102&gt;Annahmen!$C$8,0,IF($B102=0,-Annahmen!$C$66,IF($B102&lt;=Annahmen!$C$67*12,-Annahmen!$C$6/12/100*Annahmen!$C$72*$D102-(Annahmen!$C$73+Annahmen!$C$74+Annahmen!$C$75)/12+IF($B102=Annahmen!$C$67*12,Annahmen!$C$76-(Annahmen!$C$81+Annahmen!$C$41),0),-Annahmen!$C$6/12/100*Annahmen!$C$36*Annahmen!$C$27*$D102-(Annahmen!$C$39+Annahmen!$C$40+Annahmen!$C$42)/12+IF(MOD($B102,12)=0,Annahmen!$C$20,0)+IF($B102=Annahmen!$C$8,Annahmen!$C$82,0))+IF($B102=Annahmen!$C$67*12+Annahmen!$C$19,Annahmen!$C$17*Annahmen!$C$21,0)))</f>
        <v>0</v>
      </c>
      <c r="I102" s="56" t="n">
        <f aca="false">IF($B102&gt;Annahmen!$C$8,0,IF($B102=0,-(Annahmen!$C$86+Annahmen!$C$41)+Annahmen!$C$77,-Annahmen!$C$6/12/100*Annahmen!$C$89*Annahmen!$C$27*$D102-(Annahmen!$C$92+Annahmen!$C$93+Annahmen!$C$94+Annahmen!$C$95)/12+IF(MOD($B102,12)=0,Annahmen!$C$20,0)+IF($B102=Annahmen!$C$8,Annahmen!$C$91,0)))</f>
        <v>0</v>
      </c>
    </row>
    <row r="103" customFormat="false" ht="15" hidden="false" customHeight="true" outlineLevel="0" collapsed="false">
      <c r="B103" s="39" t="n">
        <v>97</v>
      </c>
      <c r="C103" s="57" t="n">
        <f aca="false">1/(1+Annahmen!$C$10)^$B103</f>
        <v>0.787467127939609</v>
      </c>
      <c r="D103" s="57" t="n">
        <f aca="false">(1+Annahmen!$C$11)^INT(MAX($B103-1,0)/12)</f>
        <v>1.17165938100227</v>
      </c>
      <c r="E103" s="58" t="n">
        <f aca="false">IF($B103&gt;Annahmen!$C$8,0,IF($B103=0,-(Annahmen!$C$33+Annahmen!$C$41)+Annahmen!$C$77,-Annahmen!$C$6/12/100*Annahmen!$C$36*Annahmen!$C$27*$D103-(Annahmen!$C$39+Annahmen!$C$40+Annahmen!$C$42)/12+IF($B103=Annahmen!$C$19,Annahmen!$C$17,0)+IF(MOD($B103,12)=0,Annahmen!$C$20,0)+IF($B103=Annahmen!$C$8,Annahmen!$C$38,0)))</f>
        <v>0</v>
      </c>
      <c r="F103" s="58" t="n">
        <f aca="false">IF($B103&gt;Annahmen!$C$8,0,IF($B103=0,-(Annahmen!$C$49+Annahmen!$C$41)+Annahmen!$C$77,-Annahmen!$C$46*(1+Annahmen!$C$48)^INT(($B103-1)/Annahmen!$C$47)-Annahmen!$C$6/12/100*Annahmen!$C$36*Annahmen!$C$27*$D103-(Annahmen!$C$53+Annahmen!$C$54)/12+IF($B103=Annahmen!$C$19,Annahmen!$C$17,0)+IF(MOD($B103,12)=0,Annahmen!$C$20,0)-IF(MOD($B103,Annahmen!$C$47)=0,Annahmen!$C$52,0)-IF(AND(MOD($B103,Annahmen!$C$47)=0,$B103&lt;Annahmen!$C$8),Annahmen!$C$49*(1+Annahmen!$C$48)^($B103/Annahmen!$C$47),0)))</f>
        <v>0</v>
      </c>
      <c r="G103" s="58" t="n">
        <f aca="false">IF($B103&gt;Annahmen!$C$8,0,IF($B103=0,-Annahmen!$C$57+Annahmen!$C$77,-Annahmen!$C$6/12/100*Annahmen!$C$58*Annahmen!$C$28*$D103-(Annahmen!$C$61+Annahmen!$C$62+Annahmen!$C$63)/12+IF($B103=Annahmen!$C$8,Annahmen!$C$60,0)))</f>
        <v>0</v>
      </c>
      <c r="H103" s="58" t="n">
        <f aca="false">IF($B103&gt;Annahmen!$C$8,0,IF($B103=0,-Annahmen!$C$66,IF($B103&lt;=Annahmen!$C$67*12,-Annahmen!$C$6/12/100*Annahmen!$C$72*$D103-(Annahmen!$C$73+Annahmen!$C$74+Annahmen!$C$75)/12+IF($B103=Annahmen!$C$67*12,Annahmen!$C$76-(Annahmen!$C$81+Annahmen!$C$41),0),-Annahmen!$C$6/12/100*Annahmen!$C$36*Annahmen!$C$27*$D103-(Annahmen!$C$39+Annahmen!$C$40+Annahmen!$C$42)/12+IF(MOD($B103,12)=0,Annahmen!$C$20,0)+IF($B103=Annahmen!$C$8,Annahmen!$C$82,0))+IF($B103=Annahmen!$C$67*12+Annahmen!$C$19,Annahmen!$C$17*Annahmen!$C$21,0)))</f>
        <v>0</v>
      </c>
      <c r="I103" s="59" t="n">
        <f aca="false">IF($B103&gt;Annahmen!$C$8,0,IF($B103=0,-(Annahmen!$C$86+Annahmen!$C$41)+Annahmen!$C$77,-Annahmen!$C$6/12/100*Annahmen!$C$89*Annahmen!$C$27*$D103-(Annahmen!$C$92+Annahmen!$C$93+Annahmen!$C$94+Annahmen!$C$95)/12+IF(MOD($B103,12)=0,Annahmen!$C$20,0)+IF($B103=Annahmen!$C$8,Annahmen!$C$91,0)))</f>
        <v>0</v>
      </c>
    </row>
    <row r="104" customFormat="false" ht="15" hidden="false" customHeight="true" outlineLevel="0" collapsed="false">
      <c r="B104" s="39" t="n">
        <v>98</v>
      </c>
      <c r="C104" s="57" t="n">
        <f aca="false">1/(1+Annahmen!$C$10)^$B104</f>
        <v>0.78552979953976</v>
      </c>
      <c r="D104" s="57" t="n">
        <f aca="false">(1+Annahmen!$C$11)^INT(MAX($B104-1,0)/12)</f>
        <v>1.17165938100227</v>
      </c>
      <c r="E104" s="58" t="n">
        <f aca="false">IF($B104&gt;Annahmen!$C$8,0,IF($B104=0,-(Annahmen!$C$33+Annahmen!$C$41)+Annahmen!$C$77,-Annahmen!$C$6/12/100*Annahmen!$C$36*Annahmen!$C$27*$D104-(Annahmen!$C$39+Annahmen!$C$40+Annahmen!$C$42)/12+IF($B104=Annahmen!$C$19,Annahmen!$C$17,0)+IF(MOD($B104,12)=0,Annahmen!$C$20,0)+IF($B104=Annahmen!$C$8,Annahmen!$C$38,0)))</f>
        <v>0</v>
      </c>
      <c r="F104" s="58" t="n">
        <f aca="false">IF($B104&gt;Annahmen!$C$8,0,IF($B104=0,-(Annahmen!$C$49+Annahmen!$C$41)+Annahmen!$C$77,-Annahmen!$C$46*(1+Annahmen!$C$48)^INT(($B104-1)/Annahmen!$C$47)-Annahmen!$C$6/12/100*Annahmen!$C$36*Annahmen!$C$27*$D104-(Annahmen!$C$53+Annahmen!$C$54)/12+IF($B104=Annahmen!$C$19,Annahmen!$C$17,0)+IF(MOD($B104,12)=0,Annahmen!$C$20,0)-IF(MOD($B104,Annahmen!$C$47)=0,Annahmen!$C$52,0)-IF(AND(MOD($B104,Annahmen!$C$47)=0,$B104&lt;Annahmen!$C$8),Annahmen!$C$49*(1+Annahmen!$C$48)^($B104/Annahmen!$C$47),0)))</f>
        <v>0</v>
      </c>
      <c r="G104" s="58" t="n">
        <f aca="false">IF($B104&gt;Annahmen!$C$8,0,IF($B104=0,-Annahmen!$C$57+Annahmen!$C$77,-Annahmen!$C$6/12/100*Annahmen!$C$58*Annahmen!$C$28*$D104-(Annahmen!$C$61+Annahmen!$C$62+Annahmen!$C$63)/12+IF($B104=Annahmen!$C$8,Annahmen!$C$60,0)))</f>
        <v>0</v>
      </c>
      <c r="H104" s="58" t="n">
        <f aca="false">IF($B104&gt;Annahmen!$C$8,0,IF($B104=0,-Annahmen!$C$66,IF($B104&lt;=Annahmen!$C$67*12,-Annahmen!$C$6/12/100*Annahmen!$C$72*$D104-(Annahmen!$C$73+Annahmen!$C$74+Annahmen!$C$75)/12+IF($B104=Annahmen!$C$67*12,Annahmen!$C$76-(Annahmen!$C$81+Annahmen!$C$41),0),-Annahmen!$C$6/12/100*Annahmen!$C$36*Annahmen!$C$27*$D104-(Annahmen!$C$39+Annahmen!$C$40+Annahmen!$C$42)/12+IF(MOD($B104,12)=0,Annahmen!$C$20,0)+IF($B104=Annahmen!$C$8,Annahmen!$C$82,0))+IF($B104=Annahmen!$C$67*12+Annahmen!$C$19,Annahmen!$C$17*Annahmen!$C$21,0)))</f>
        <v>0</v>
      </c>
      <c r="I104" s="59" t="n">
        <f aca="false">IF($B104&gt;Annahmen!$C$8,0,IF($B104=0,-(Annahmen!$C$86+Annahmen!$C$41)+Annahmen!$C$77,-Annahmen!$C$6/12/100*Annahmen!$C$89*Annahmen!$C$27*$D104-(Annahmen!$C$92+Annahmen!$C$93+Annahmen!$C$94+Annahmen!$C$95)/12+IF(MOD($B104,12)=0,Annahmen!$C$20,0)+IF($B104=Annahmen!$C$8,Annahmen!$C$91,0)))</f>
        <v>0</v>
      </c>
    </row>
    <row r="105" customFormat="false" ht="15" hidden="false" customHeight="true" outlineLevel="0" collapsed="false">
      <c r="B105" s="39" t="n">
        <v>99</v>
      </c>
      <c r="C105" s="57" t="n">
        <f aca="false">1/(1+Annahmen!$C$10)^$B105</f>
        <v>0.7835972373596</v>
      </c>
      <c r="D105" s="57" t="n">
        <f aca="false">(1+Annahmen!$C$11)^INT(MAX($B105-1,0)/12)</f>
        <v>1.17165938100227</v>
      </c>
      <c r="E105" s="58" t="n">
        <f aca="false">IF($B105&gt;Annahmen!$C$8,0,IF($B105=0,-(Annahmen!$C$33+Annahmen!$C$41)+Annahmen!$C$77,-Annahmen!$C$6/12/100*Annahmen!$C$36*Annahmen!$C$27*$D105-(Annahmen!$C$39+Annahmen!$C$40+Annahmen!$C$42)/12+IF($B105=Annahmen!$C$19,Annahmen!$C$17,0)+IF(MOD($B105,12)=0,Annahmen!$C$20,0)+IF($B105=Annahmen!$C$8,Annahmen!$C$38,0)))</f>
        <v>0</v>
      </c>
      <c r="F105" s="58" t="n">
        <f aca="false">IF($B105&gt;Annahmen!$C$8,0,IF($B105=0,-(Annahmen!$C$49+Annahmen!$C$41)+Annahmen!$C$77,-Annahmen!$C$46*(1+Annahmen!$C$48)^INT(($B105-1)/Annahmen!$C$47)-Annahmen!$C$6/12/100*Annahmen!$C$36*Annahmen!$C$27*$D105-(Annahmen!$C$53+Annahmen!$C$54)/12+IF($B105=Annahmen!$C$19,Annahmen!$C$17,0)+IF(MOD($B105,12)=0,Annahmen!$C$20,0)-IF(MOD($B105,Annahmen!$C$47)=0,Annahmen!$C$52,0)-IF(AND(MOD($B105,Annahmen!$C$47)=0,$B105&lt;Annahmen!$C$8),Annahmen!$C$49*(1+Annahmen!$C$48)^($B105/Annahmen!$C$47),0)))</f>
        <v>0</v>
      </c>
      <c r="G105" s="58" t="n">
        <f aca="false">IF($B105&gt;Annahmen!$C$8,0,IF($B105=0,-Annahmen!$C$57+Annahmen!$C$77,-Annahmen!$C$6/12/100*Annahmen!$C$58*Annahmen!$C$28*$D105-(Annahmen!$C$61+Annahmen!$C$62+Annahmen!$C$63)/12+IF($B105=Annahmen!$C$8,Annahmen!$C$60,0)))</f>
        <v>0</v>
      </c>
      <c r="H105" s="58" t="n">
        <f aca="false">IF($B105&gt;Annahmen!$C$8,0,IF($B105=0,-Annahmen!$C$66,IF($B105&lt;=Annahmen!$C$67*12,-Annahmen!$C$6/12/100*Annahmen!$C$72*$D105-(Annahmen!$C$73+Annahmen!$C$74+Annahmen!$C$75)/12+IF($B105=Annahmen!$C$67*12,Annahmen!$C$76-(Annahmen!$C$81+Annahmen!$C$41),0),-Annahmen!$C$6/12/100*Annahmen!$C$36*Annahmen!$C$27*$D105-(Annahmen!$C$39+Annahmen!$C$40+Annahmen!$C$42)/12+IF(MOD($B105,12)=0,Annahmen!$C$20,0)+IF($B105=Annahmen!$C$8,Annahmen!$C$82,0))+IF($B105=Annahmen!$C$67*12+Annahmen!$C$19,Annahmen!$C$17*Annahmen!$C$21,0)))</f>
        <v>0</v>
      </c>
      <c r="I105" s="59" t="n">
        <f aca="false">IF($B105&gt;Annahmen!$C$8,0,IF($B105=0,-(Annahmen!$C$86+Annahmen!$C$41)+Annahmen!$C$77,-Annahmen!$C$6/12/100*Annahmen!$C$89*Annahmen!$C$27*$D105-(Annahmen!$C$92+Annahmen!$C$93+Annahmen!$C$94+Annahmen!$C$95)/12+IF(MOD($B105,12)=0,Annahmen!$C$20,0)+IF($B105=Annahmen!$C$8,Annahmen!$C$91,0)))</f>
        <v>0</v>
      </c>
    </row>
    <row r="106" customFormat="false" ht="15" hidden="false" customHeight="true" outlineLevel="0" collapsed="false">
      <c r="B106" s="39" t="n">
        <v>100</v>
      </c>
      <c r="C106" s="57" t="n">
        <f aca="false">1/(1+Annahmen!$C$10)^$B106</f>
        <v>0.781669429673263</v>
      </c>
      <c r="D106" s="57" t="n">
        <f aca="false">(1+Annahmen!$C$11)^INT(MAX($B106-1,0)/12)</f>
        <v>1.17165938100227</v>
      </c>
      <c r="E106" s="58" t="n">
        <f aca="false">IF($B106&gt;Annahmen!$C$8,0,IF($B106=0,-(Annahmen!$C$33+Annahmen!$C$41)+Annahmen!$C$77,-Annahmen!$C$6/12/100*Annahmen!$C$36*Annahmen!$C$27*$D106-(Annahmen!$C$39+Annahmen!$C$40+Annahmen!$C$42)/12+IF($B106=Annahmen!$C$19,Annahmen!$C$17,0)+IF(MOD($B106,12)=0,Annahmen!$C$20,0)+IF($B106=Annahmen!$C$8,Annahmen!$C$38,0)))</f>
        <v>0</v>
      </c>
      <c r="F106" s="58" t="n">
        <f aca="false">IF($B106&gt;Annahmen!$C$8,0,IF($B106=0,-(Annahmen!$C$49+Annahmen!$C$41)+Annahmen!$C$77,-Annahmen!$C$46*(1+Annahmen!$C$48)^INT(($B106-1)/Annahmen!$C$47)-Annahmen!$C$6/12/100*Annahmen!$C$36*Annahmen!$C$27*$D106-(Annahmen!$C$53+Annahmen!$C$54)/12+IF($B106=Annahmen!$C$19,Annahmen!$C$17,0)+IF(MOD($B106,12)=0,Annahmen!$C$20,0)-IF(MOD($B106,Annahmen!$C$47)=0,Annahmen!$C$52,0)-IF(AND(MOD($B106,Annahmen!$C$47)=0,$B106&lt;Annahmen!$C$8),Annahmen!$C$49*(1+Annahmen!$C$48)^($B106/Annahmen!$C$47),0)))</f>
        <v>0</v>
      </c>
      <c r="G106" s="58" t="n">
        <f aca="false">IF($B106&gt;Annahmen!$C$8,0,IF($B106=0,-Annahmen!$C$57+Annahmen!$C$77,-Annahmen!$C$6/12/100*Annahmen!$C$58*Annahmen!$C$28*$D106-(Annahmen!$C$61+Annahmen!$C$62+Annahmen!$C$63)/12+IF($B106=Annahmen!$C$8,Annahmen!$C$60,0)))</f>
        <v>0</v>
      </c>
      <c r="H106" s="58" t="n">
        <f aca="false">IF($B106&gt;Annahmen!$C$8,0,IF($B106=0,-Annahmen!$C$66,IF($B106&lt;=Annahmen!$C$67*12,-Annahmen!$C$6/12/100*Annahmen!$C$72*$D106-(Annahmen!$C$73+Annahmen!$C$74+Annahmen!$C$75)/12+IF($B106=Annahmen!$C$67*12,Annahmen!$C$76-(Annahmen!$C$81+Annahmen!$C$41),0),-Annahmen!$C$6/12/100*Annahmen!$C$36*Annahmen!$C$27*$D106-(Annahmen!$C$39+Annahmen!$C$40+Annahmen!$C$42)/12+IF(MOD($B106,12)=0,Annahmen!$C$20,0)+IF($B106=Annahmen!$C$8,Annahmen!$C$82,0))+IF($B106=Annahmen!$C$67*12+Annahmen!$C$19,Annahmen!$C$17*Annahmen!$C$21,0)))</f>
        <v>0</v>
      </c>
      <c r="I106" s="59" t="n">
        <f aca="false">IF($B106&gt;Annahmen!$C$8,0,IF($B106=0,-(Annahmen!$C$86+Annahmen!$C$41)+Annahmen!$C$77,-Annahmen!$C$6/12/100*Annahmen!$C$89*Annahmen!$C$27*$D106-(Annahmen!$C$92+Annahmen!$C$93+Annahmen!$C$94+Annahmen!$C$95)/12+IF(MOD($B106,12)=0,Annahmen!$C$20,0)+IF($B106=Annahmen!$C$8,Annahmen!$C$91,0)))</f>
        <v>0</v>
      </c>
    </row>
    <row r="107" customFormat="false" ht="15" hidden="false" customHeight="true" outlineLevel="0" collapsed="false">
      <c r="B107" s="39" t="n">
        <v>101</v>
      </c>
      <c r="C107" s="57" t="n">
        <f aca="false">1/(1+Annahmen!$C$10)^$B107</f>
        <v>0.779746364783733</v>
      </c>
      <c r="D107" s="57" t="n">
        <f aca="false">(1+Annahmen!$C$11)^INT(MAX($B107-1,0)/12)</f>
        <v>1.17165938100227</v>
      </c>
      <c r="E107" s="58" t="n">
        <f aca="false">IF($B107&gt;Annahmen!$C$8,0,IF($B107=0,-(Annahmen!$C$33+Annahmen!$C$41)+Annahmen!$C$77,-Annahmen!$C$6/12/100*Annahmen!$C$36*Annahmen!$C$27*$D107-(Annahmen!$C$39+Annahmen!$C$40+Annahmen!$C$42)/12+IF($B107=Annahmen!$C$19,Annahmen!$C$17,0)+IF(MOD($B107,12)=0,Annahmen!$C$20,0)+IF($B107=Annahmen!$C$8,Annahmen!$C$38,0)))</f>
        <v>0</v>
      </c>
      <c r="F107" s="58" t="n">
        <f aca="false">IF($B107&gt;Annahmen!$C$8,0,IF($B107=0,-(Annahmen!$C$49+Annahmen!$C$41)+Annahmen!$C$77,-Annahmen!$C$46*(1+Annahmen!$C$48)^INT(($B107-1)/Annahmen!$C$47)-Annahmen!$C$6/12/100*Annahmen!$C$36*Annahmen!$C$27*$D107-(Annahmen!$C$53+Annahmen!$C$54)/12+IF($B107=Annahmen!$C$19,Annahmen!$C$17,0)+IF(MOD($B107,12)=0,Annahmen!$C$20,0)-IF(MOD($B107,Annahmen!$C$47)=0,Annahmen!$C$52,0)-IF(AND(MOD($B107,Annahmen!$C$47)=0,$B107&lt;Annahmen!$C$8),Annahmen!$C$49*(1+Annahmen!$C$48)^($B107/Annahmen!$C$47),0)))</f>
        <v>0</v>
      </c>
      <c r="G107" s="58" t="n">
        <f aca="false">IF($B107&gt;Annahmen!$C$8,0,IF($B107=0,-Annahmen!$C$57+Annahmen!$C$77,-Annahmen!$C$6/12/100*Annahmen!$C$58*Annahmen!$C$28*$D107-(Annahmen!$C$61+Annahmen!$C$62+Annahmen!$C$63)/12+IF($B107=Annahmen!$C$8,Annahmen!$C$60,0)))</f>
        <v>0</v>
      </c>
      <c r="H107" s="58" t="n">
        <f aca="false">IF($B107&gt;Annahmen!$C$8,0,IF($B107=0,-Annahmen!$C$66,IF($B107&lt;=Annahmen!$C$67*12,-Annahmen!$C$6/12/100*Annahmen!$C$72*$D107-(Annahmen!$C$73+Annahmen!$C$74+Annahmen!$C$75)/12+IF($B107=Annahmen!$C$67*12,Annahmen!$C$76-(Annahmen!$C$81+Annahmen!$C$41),0),-Annahmen!$C$6/12/100*Annahmen!$C$36*Annahmen!$C$27*$D107-(Annahmen!$C$39+Annahmen!$C$40+Annahmen!$C$42)/12+IF(MOD($B107,12)=0,Annahmen!$C$20,0)+IF($B107=Annahmen!$C$8,Annahmen!$C$82,0))+IF($B107=Annahmen!$C$67*12+Annahmen!$C$19,Annahmen!$C$17*Annahmen!$C$21,0)))</f>
        <v>0</v>
      </c>
      <c r="I107" s="59" t="n">
        <f aca="false">IF($B107&gt;Annahmen!$C$8,0,IF($B107=0,-(Annahmen!$C$86+Annahmen!$C$41)+Annahmen!$C$77,-Annahmen!$C$6/12/100*Annahmen!$C$89*Annahmen!$C$27*$D107-(Annahmen!$C$92+Annahmen!$C$93+Annahmen!$C$94+Annahmen!$C$95)/12+IF(MOD($B107,12)=0,Annahmen!$C$20,0)+IF($B107=Annahmen!$C$8,Annahmen!$C$91,0)))</f>
        <v>0</v>
      </c>
    </row>
    <row r="108" customFormat="false" ht="15" hidden="false" customHeight="true" outlineLevel="0" collapsed="false">
      <c r="B108" s="39" t="n">
        <v>102</v>
      </c>
      <c r="C108" s="57" t="n">
        <f aca="false">1/(1+Annahmen!$C$10)^$B108</f>
        <v>0.777828031022771</v>
      </c>
      <c r="D108" s="57" t="n">
        <f aca="false">(1+Annahmen!$C$11)^INT(MAX($B108-1,0)/12)</f>
        <v>1.17165938100227</v>
      </c>
      <c r="E108" s="58" t="n">
        <f aca="false">IF($B108&gt;Annahmen!$C$8,0,IF($B108=0,-(Annahmen!$C$33+Annahmen!$C$41)+Annahmen!$C$77,-Annahmen!$C$6/12/100*Annahmen!$C$36*Annahmen!$C$27*$D108-(Annahmen!$C$39+Annahmen!$C$40+Annahmen!$C$42)/12+IF($B108=Annahmen!$C$19,Annahmen!$C$17,0)+IF(MOD($B108,12)=0,Annahmen!$C$20,0)+IF($B108=Annahmen!$C$8,Annahmen!$C$38,0)))</f>
        <v>0</v>
      </c>
      <c r="F108" s="58" t="n">
        <f aca="false">IF($B108&gt;Annahmen!$C$8,0,IF($B108=0,-(Annahmen!$C$49+Annahmen!$C$41)+Annahmen!$C$77,-Annahmen!$C$46*(1+Annahmen!$C$48)^INT(($B108-1)/Annahmen!$C$47)-Annahmen!$C$6/12/100*Annahmen!$C$36*Annahmen!$C$27*$D108-(Annahmen!$C$53+Annahmen!$C$54)/12+IF($B108=Annahmen!$C$19,Annahmen!$C$17,0)+IF(MOD($B108,12)=0,Annahmen!$C$20,0)-IF(MOD($B108,Annahmen!$C$47)=0,Annahmen!$C$52,0)-IF(AND(MOD($B108,Annahmen!$C$47)=0,$B108&lt;Annahmen!$C$8),Annahmen!$C$49*(1+Annahmen!$C$48)^($B108/Annahmen!$C$47),0)))</f>
        <v>0</v>
      </c>
      <c r="G108" s="58" t="n">
        <f aca="false">IF($B108&gt;Annahmen!$C$8,0,IF($B108=0,-Annahmen!$C$57+Annahmen!$C$77,-Annahmen!$C$6/12/100*Annahmen!$C$58*Annahmen!$C$28*$D108-(Annahmen!$C$61+Annahmen!$C$62+Annahmen!$C$63)/12+IF($B108=Annahmen!$C$8,Annahmen!$C$60,0)))</f>
        <v>0</v>
      </c>
      <c r="H108" s="58" t="n">
        <f aca="false">IF($B108&gt;Annahmen!$C$8,0,IF($B108=0,-Annahmen!$C$66,IF($B108&lt;=Annahmen!$C$67*12,-Annahmen!$C$6/12/100*Annahmen!$C$72*$D108-(Annahmen!$C$73+Annahmen!$C$74+Annahmen!$C$75)/12+IF($B108=Annahmen!$C$67*12,Annahmen!$C$76-(Annahmen!$C$81+Annahmen!$C$41),0),-Annahmen!$C$6/12/100*Annahmen!$C$36*Annahmen!$C$27*$D108-(Annahmen!$C$39+Annahmen!$C$40+Annahmen!$C$42)/12+IF(MOD($B108,12)=0,Annahmen!$C$20,0)+IF($B108=Annahmen!$C$8,Annahmen!$C$82,0))+IF($B108=Annahmen!$C$67*12+Annahmen!$C$19,Annahmen!$C$17*Annahmen!$C$21,0)))</f>
        <v>0</v>
      </c>
      <c r="I108" s="59" t="n">
        <f aca="false">IF($B108&gt;Annahmen!$C$8,0,IF($B108=0,-(Annahmen!$C$86+Annahmen!$C$41)+Annahmen!$C$77,-Annahmen!$C$6/12/100*Annahmen!$C$89*Annahmen!$C$27*$D108-(Annahmen!$C$92+Annahmen!$C$93+Annahmen!$C$94+Annahmen!$C$95)/12+IF(MOD($B108,12)=0,Annahmen!$C$20,0)+IF($B108=Annahmen!$C$8,Annahmen!$C$91,0)))</f>
        <v>0</v>
      </c>
    </row>
    <row r="109" customFormat="false" ht="15" hidden="false" customHeight="true" outlineLevel="0" collapsed="false">
      <c r="B109" s="39" t="n">
        <v>103</v>
      </c>
      <c r="C109" s="57" t="n">
        <f aca="false">1/(1+Annahmen!$C$10)^$B109</f>
        <v>0.775914416750844</v>
      </c>
      <c r="D109" s="57" t="n">
        <f aca="false">(1+Annahmen!$C$11)^INT(MAX($B109-1,0)/12)</f>
        <v>1.17165938100227</v>
      </c>
      <c r="E109" s="58" t="n">
        <f aca="false">IF($B109&gt;Annahmen!$C$8,0,IF($B109=0,-(Annahmen!$C$33+Annahmen!$C$41)+Annahmen!$C$77,-Annahmen!$C$6/12/100*Annahmen!$C$36*Annahmen!$C$27*$D109-(Annahmen!$C$39+Annahmen!$C$40+Annahmen!$C$42)/12+IF($B109=Annahmen!$C$19,Annahmen!$C$17,0)+IF(MOD($B109,12)=0,Annahmen!$C$20,0)+IF($B109=Annahmen!$C$8,Annahmen!$C$38,0)))</f>
        <v>0</v>
      </c>
      <c r="F109" s="58" t="n">
        <f aca="false">IF($B109&gt;Annahmen!$C$8,0,IF($B109=0,-(Annahmen!$C$49+Annahmen!$C$41)+Annahmen!$C$77,-Annahmen!$C$46*(1+Annahmen!$C$48)^INT(($B109-1)/Annahmen!$C$47)-Annahmen!$C$6/12/100*Annahmen!$C$36*Annahmen!$C$27*$D109-(Annahmen!$C$53+Annahmen!$C$54)/12+IF($B109=Annahmen!$C$19,Annahmen!$C$17,0)+IF(MOD($B109,12)=0,Annahmen!$C$20,0)-IF(MOD($B109,Annahmen!$C$47)=0,Annahmen!$C$52,0)-IF(AND(MOD($B109,Annahmen!$C$47)=0,$B109&lt;Annahmen!$C$8),Annahmen!$C$49*(1+Annahmen!$C$48)^($B109/Annahmen!$C$47),0)))</f>
        <v>0</v>
      </c>
      <c r="G109" s="58" t="n">
        <f aca="false">IF($B109&gt;Annahmen!$C$8,0,IF($B109=0,-Annahmen!$C$57+Annahmen!$C$77,-Annahmen!$C$6/12/100*Annahmen!$C$58*Annahmen!$C$28*$D109-(Annahmen!$C$61+Annahmen!$C$62+Annahmen!$C$63)/12+IF($B109=Annahmen!$C$8,Annahmen!$C$60,0)))</f>
        <v>0</v>
      </c>
      <c r="H109" s="58" t="n">
        <f aca="false">IF($B109&gt;Annahmen!$C$8,0,IF($B109=0,-Annahmen!$C$66,IF($B109&lt;=Annahmen!$C$67*12,-Annahmen!$C$6/12/100*Annahmen!$C$72*$D109-(Annahmen!$C$73+Annahmen!$C$74+Annahmen!$C$75)/12+IF($B109=Annahmen!$C$67*12,Annahmen!$C$76-(Annahmen!$C$81+Annahmen!$C$41),0),-Annahmen!$C$6/12/100*Annahmen!$C$36*Annahmen!$C$27*$D109-(Annahmen!$C$39+Annahmen!$C$40+Annahmen!$C$42)/12+IF(MOD($B109,12)=0,Annahmen!$C$20,0)+IF($B109=Annahmen!$C$8,Annahmen!$C$82,0))+IF($B109=Annahmen!$C$67*12+Annahmen!$C$19,Annahmen!$C$17*Annahmen!$C$21,0)))</f>
        <v>0</v>
      </c>
      <c r="I109" s="59" t="n">
        <f aca="false">IF($B109&gt;Annahmen!$C$8,0,IF($B109=0,-(Annahmen!$C$86+Annahmen!$C$41)+Annahmen!$C$77,-Annahmen!$C$6/12/100*Annahmen!$C$89*Annahmen!$C$27*$D109-(Annahmen!$C$92+Annahmen!$C$93+Annahmen!$C$94+Annahmen!$C$95)/12+IF(MOD($B109,12)=0,Annahmen!$C$20,0)+IF($B109=Annahmen!$C$8,Annahmen!$C$91,0)))</f>
        <v>0</v>
      </c>
    </row>
    <row r="110" customFormat="false" ht="15" hidden="false" customHeight="true" outlineLevel="0" collapsed="false">
      <c r="B110" s="39" t="n">
        <v>104</v>
      </c>
      <c r="C110" s="57" t="n">
        <f aca="false">1/(1+Annahmen!$C$10)^$B110</f>
        <v>0.774005510357054</v>
      </c>
      <c r="D110" s="57" t="n">
        <f aca="false">(1+Annahmen!$C$11)^INT(MAX($B110-1,0)/12)</f>
        <v>1.17165938100227</v>
      </c>
      <c r="E110" s="58" t="n">
        <f aca="false">IF($B110&gt;Annahmen!$C$8,0,IF($B110=0,-(Annahmen!$C$33+Annahmen!$C$41)+Annahmen!$C$77,-Annahmen!$C$6/12/100*Annahmen!$C$36*Annahmen!$C$27*$D110-(Annahmen!$C$39+Annahmen!$C$40+Annahmen!$C$42)/12+IF($B110=Annahmen!$C$19,Annahmen!$C$17,0)+IF(MOD($B110,12)=0,Annahmen!$C$20,0)+IF($B110=Annahmen!$C$8,Annahmen!$C$38,0)))</f>
        <v>0</v>
      </c>
      <c r="F110" s="58" t="n">
        <f aca="false">IF($B110&gt;Annahmen!$C$8,0,IF($B110=0,-(Annahmen!$C$49+Annahmen!$C$41)+Annahmen!$C$77,-Annahmen!$C$46*(1+Annahmen!$C$48)^INT(($B110-1)/Annahmen!$C$47)-Annahmen!$C$6/12/100*Annahmen!$C$36*Annahmen!$C$27*$D110-(Annahmen!$C$53+Annahmen!$C$54)/12+IF($B110=Annahmen!$C$19,Annahmen!$C$17,0)+IF(MOD($B110,12)=0,Annahmen!$C$20,0)-IF(MOD($B110,Annahmen!$C$47)=0,Annahmen!$C$52,0)-IF(AND(MOD($B110,Annahmen!$C$47)=0,$B110&lt;Annahmen!$C$8),Annahmen!$C$49*(1+Annahmen!$C$48)^($B110/Annahmen!$C$47),0)))</f>
        <v>0</v>
      </c>
      <c r="G110" s="58" t="n">
        <f aca="false">IF($B110&gt;Annahmen!$C$8,0,IF($B110=0,-Annahmen!$C$57+Annahmen!$C$77,-Annahmen!$C$6/12/100*Annahmen!$C$58*Annahmen!$C$28*$D110-(Annahmen!$C$61+Annahmen!$C$62+Annahmen!$C$63)/12+IF($B110=Annahmen!$C$8,Annahmen!$C$60,0)))</f>
        <v>0</v>
      </c>
      <c r="H110" s="58" t="n">
        <f aca="false">IF($B110&gt;Annahmen!$C$8,0,IF($B110=0,-Annahmen!$C$66,IF($B110&lt;=Annahmen!$C$67*12,-Annahmen!$C$6/12/100*Annahmen!$C$72*$D110-(Annahmen!$C$73+Annahmen!$C$74+Annahmen!$C$75)/12+IF($B110=Annahmen!$C$67*12,Annahmen!$C$76-(Annahmen!$C$81+Annahmen!$C$41),0),-Annahmen!$C$6/12/100*Annahmen!$C$36*Annahmen!$C$27*$D110-(Annahmen!$C$39+Annahmen!$C$40+Annahmen!$C$42)/12+IF(MOD($B110,12)=0,Annahmen!$C$20,0)+IF($B110=Annahmen!$C$8,Annahmen!$C$82,0))+IF($B110=Annahmen!$C$67*12+Annahmen!$C$19,Annahmen!$C$17*Annahmen!$C$21,0)))</f>
        <v>0</v>
      </c>
      <c r="I110" s="59" t="n">
        <f aca="false">IF($B110&gt;Annahmen!$C$8,0,IF($B110=0,-(Annahmen!$C$86+Annahmen!$C$41)+Annahmen!$C$77,-Annahmen!$C$6/12/100*Annahmen!$C$89*Annahmen!$C$27*$D110-(Annahmen!$C$92+Annahmen!$C$93+Annahmen!$C$94+Annahmen!$C$95)/12+IF(MOD($B110,12)=0,Annahmen!$C$20,0)+IF($B110=Annahmen!$C$8,Annahmen!$C$91,0)))</f>
        <v>0</v>
      </c>
    </row>
    <row r="111" customFormat="false" ht="15" hidden="false" customHeight="true" outlineLevel="0" collapsed="false">
      <c r="B111" s="39" t="n">
        <v>105</v>
      </c>
      <c r="C111" s="57" t="n">
        <f aca="false">1/(1+Annahmen!$C$10)^$B111</f>
        <v>0.772101300259068</v>
      </c>
      <c r="D111" s="57" t="n">
        <f aca="false">(1+Annahmen!$C$11)^INT(MAX($B111-1,0)/12)</f>
        <v>1.17165938100227</v>
      </c>
      <c r="E111" s="58" t="n">
        <f aca="false">IF($B111&gt;Annahmen!$C$8,0,IF($B111=0,-(Annahmen!$C$33+Annahmen!$C$41)+Annahmen!$C$77,-Annahmen!$C$6/12/100*Annahmen!$C$36*Annahmen!$C$27*$D111-(Annahmen!$C$39+Annahmen!$C$40+Annahmen!$C$42)/12+IF($B111=Annahmen!$C$19,Annahmen!$C$17,0)+IF(MOD($B111,12)=0,Annahmen!$C$20,0)+IF($B111=Annahmen!$C$8,Annahmen!$C$38,0)))</f>
        <v>0</v>
      </c>
      <c r="F111" s="58" t="n">
        <f aca="false">IF($B111&gt;Annahmen!$C$8,0,IF($B111=0,-(Annahmen!$C$49+Annahmen!$C$41)+Annahmen!$C$77,-Annahmen!$C$46*(1+Annahmen!$C$48)^INT(($B111-1)/Annahmen!$C$47)-Annahmen!$C$6/12/100*Annahmen!$C$36*Annahmen!$C$27*$D111-(Annahmen!$C$53+Annahmen!$C$54)/12+IF($B111=Annahmen!$C$19,Annahmen!$C$17,0)+IF(MOD($B111,12)=0,Annahmen!$C$20,0)-IF(MOD($B111,Annahmen!$C$47)=0,Annahmen!$C$52,0)-IF(AND(MOD($B111,Annahmen!$C$47)=0,$B111&lt;Annahmen!$C$8),Annahmen!$C$49*(1+Annahmen!$C$48)^($B111/Annahmen!$C$47),0)))</f>
        <v>0</v>
      </c>
      <c r="G111" s="58" t="n">
        <f aca="false">IF($B111&gt;Annahmen!$C$8,0,IF($B111=0,-Annahmen!$C$57+Annahmen!$C$77,-Annahmen!$C$6/12/100*Annahmen!$C$58*Annahmen!$C$28*$D111-(Annahmen!$C$61+Annahmen!$C$62+Annahmen!$C$63)/12+IF($B111=Annahmen!$C$8,Annahmen!$C$60,0)))</f>
        <v>0</v>
      </c>
      <c r="H111" s="58" t="n">
        <f aca="false">IF($B111&gt;Annahmen!$C$8,0,IF($B111=0,-Annahmen!$C$66,IF($B111&lt;=Annahmen!$C$67*12,-Annahmen!$C$6/12/100*Annahmen!$C$72*$D111-(Annahmen!$C$73+Annahmen!$C$74+Annahmen!$C$75)/12+IF($B111=Annahmen!$C$67*12,Annahmen!$C$76-(Annahmen!$C$81+Annahmen!$C$41),0),-Annahmen!$C$6/12/100*Annahmen!$C$36*Annahmen!$C$27*$D111-(Annahmen!$C$39+Annahmen!$C$40+Annahmen!$C$42)/12+IF(MOD($B111,12)=0,Annahmen!$C$20,0)+IF($B111=Annahmen!$C$8,Annahmen!$C$82,0))+IF($B111=Annahmen!$C$67*12+Annahmen!$C$19,Annahmen!$C$17*Annahmen!$C$21,0)))</f>
        <v>0</v>
      </c>
      <c r="I111" s="59" t="n">
        <f aca="false">IF($B111&gt;Annahmen!$C$8,0,IF($B111=0,-(Annahmen!$C$86+Annahmen!$C$41)+Annahmen!$C$77,-Annahmen!$C$6/12/100*Annahmen!$C$89*Annahmen!$C$27*$D111-(Annahmen!$C$92+Annahmen!$C$93+Annahmen!$C$94+Annahmen!$C$95)/12+IF(MOD($B111,12)=0,Annahmen!$C$20,0)+IF($B111=Annahmen!$C$8,Annahmen!$C$91,0)))</f>
        <v>0</v>
      </c>
    </row>
    <row r="112" customFormat="false" ht="15" hidden="false" customHeight="true" outlineLevel="0" collapsed="false">
      <c r="B112" s="39" t="n">
        <v>106</v>
      </c>
      <c r="C112" s="57" t="n">
        <f aca="false">1/(1+Annahmen!$C$10)^$B112</f>
        <v>0.77020177490305</v>
      </c>
      <c r="D112" s="57" t="n">
        <f aca="false">(1+Annahmen!$C$11)^INT(MAX($B112-1,0)/12)</f>
        <v>1.17165938100227</v>
      </c>
      <c r="E112" s="58" t="n">
        <f aca="false">IF($B112&gt;Annahmen!$C$8,0,IF($B112=0,-(Annahmen!$C$33+Annahmen!$C$41)+Annahmen!$C$77,-Annahmen!$C$6/12/100*Annahmen!$C$36*Annahmen!$C$27*$D112-(Annahmen!$C$39+Annahmen!$C$40+Annahmen!$C$42)/12+IF($B112=Annahmen!$C$19,Annahmen!$C$17,0)+IF(MOD($B112,12)=0,Annahmen!$C$20,0)+IF($B112=Annahmen!$C$8,Annahmen!$C$38,0)))</f>
        <v>0</v>
      </c>
      <c r="F112" s="58" t="n">
        <f aca="false">IF($B112&gt;Annahmen!$C$8,0,IF($B112=0,-(Annahmen!$C$49+Annahmen!$C$41)+Annahmen!$C$77,-Annahmen!$C$46*(1+Annahmen!$C$48)^INT(($B112-1)/Annahmen!$C$47)-Annahmen!$C$6/12/100*Annahmen!$C$36*Annahmen!$C$27*$D112-(Annahmen!$C$53+Annahmen!$C$54)/12+IF($B112=Annahmen!$C$19,Annahmen!$C$17,0)+IF(MOD($B112,12)=0,Annahmen!$C$20,0)-IF(MOD($B112,Annahmen!$C$47)=0,Annahmen!$C$52,0)-IF(AND(MOD($B112,Annahmen!$C$47)=0,$B112&lt;Annahmen!$C$8),Annahmen!$C$49*(1+Annahmen!$C$48)^($B112/Annahmen!$C$47),0)))</f>
        <v>0</v>
      </c>
      <c r="G112" s="58" t="n">
        <f aca="false">IF($B112&gt;Annahmen!$C$8,0,IF($B112=0,-Annahmen!$C$57+Annahmen!$C$77,-Annahmen!$C$6/12/100*Annahmen!$C$58*Annahmen!$C$28*$D112-(Annahmen!$C$61+Annahmen!$C$62+Annahmen!$C$63)/12+IF($B112=Annahmen!$C$8,Annahmen!$C$60,0)))</f>
        <v>0</v>
      </c>
      <c r="H112" s="58" t="n">
        <f aca="false">IF($B112&gt;Annahmen!$C$8,0,IF($B112=0,-Annahmen!$C$66,IF($B112&lt;=Annahmen!$C$67*12,-Annahmen!$C$6/12/100*Annahmen!$C$72*$D112-(Annahmen!$C$73+Annahmen!$C$74+Annahmen!$C$75)/12+IF($B112=Annahmen!$C$67*12,Annahmen!$C$76-(Annahmen!$C$81+Annahmen!$C$41),0),-Annahmen!$C$6/12/100*Annahmen!$C$36*Annahmen!$C$27*$D112-(Annahmen!$C$39+Annahmen!$C$40+Annahmen!$C$42)/12+IF(MOD($B112,12)=0,Annahmen!$C$20,0)+IF($B112=Annahmen!$C$8,Annahmen!$C$82,0))+IF($B112=Annahmen!$C$67*12+Annahmen!$C$19,Annahmen!$C$17*Annahmen!$C$21,0)))</f>
        <v>0</v>
      </c>
      <c r="I112" s="59" t="n">
        <f aca="false">IF($B112&gt;Annahmen!$C$8,0,IF($B112=0,-(Annahmen!$C$86+Annahmen!$C$41)+Annahmen!$C$77,-Annahmen!$C$6/12/100*Annahmen!$C$89*Annahmen!$C$27*$D112-(Annahmen!$C$92+Annahmen!$C$93+Annahmen!$C$94+Annahmen!$C$95)/12+IF(MOD($B112,12)=0,Annahmen!$C$20,0)+IF($B112=Annahmen!$C$8,Annahmen!$C$91,0)))</f>
        <v>0</v>
      </c>
    </row>
    <row r="113" customFormat="false" ht="15" hidden="false" customHeight="true" outlineLevel="0" collapsed="false">
      <c r="B113" s="39" t="n">
        <v>107</v>
      </c>
      <c r="C113" s="57" t="n">
        <f aca="false">1/(1+Annahmen!$C$10)^$B113</f>
        <v>0.768306922763587</v>
      </c>
      <c r="D113" s="57" t="n">
        <f aca="false">(1+Annahmen!$C$11)^INT(MAX($B113-1,0)/12)</f>
        <v>1.17165938100227</v>
      </c>
      <c r="E113" s="58" t="n">
        <f aca="false">IF($B113&gt;Annahmen!$C$8,0,IF($B113=0,-(Annahmen!$C$33+Annahmen!$C$41)+Annahmen!$C$77,-Annahmen!$C$6/12/100*Annahmen!$C$36*Annahmen!$C$27*$D113-(Annahmen!$C$39+Annahmen!$C$40+Annahmen!$C$42)/12+IF($B113=Annahmen!$C$19,Annahmen!$C$17,0)+IF(MOD($B113,12)=0,Annahmen!$C$20,0)+IF($B113=Annahmen!$C$8,Annahmen!$C$38,0)))</f>
        <v>0</v>
      </c>
      <c r="F113" s="58" t="n">
        <f aca="false">IF($B113&gt;Annahmen!$C$8,0,IF($B113=0,-(Annahmen!$C$49+Annahmen!$C$41)+Annahmen!$C$77,-Annahmen!$C$46*(1+Annahmen!$C$48)^INT(($B113-1)/Annahmen!$C$47)-Annahmen!$C$6/12/100*Annahmen!$C$36*Annahmen!$C$27*$D113-(Annahmen!$C$53+Annahmen!$C$54)/12+IF($B113=Annahmen!$C$19,Annahmen!$C$17,0)+IF(MOD($B113,12)=0,Annahmen!$C$20,0)-IF(MOD($B113,Annahmen!$C$47)=0,Annahmen!$C$52,0)-IF(AND(MOD($B113,Annahmen!$C$47)=0,$B113&lt;Annahmen!$C$8),Annahmen!$C$49*(1+Annahmen!$C$48)^($B113/Annahmen!$C$47),0)))</f>
        <v>0</v>
      </c>
      <c r="G113" s="58" t="n">
        <f aca="false">IF($B113&gt;Annahmen!$C$8,0,IF($B113=0,-Annahmen!$C$57+Annahmen!$C$77,-Annahmen!$C$6/12/100*Annahmen!$C$58*Annahmen!$C$28*$D113-(Annahmen!$C$61+Annahmen!$C$62+Annahmen!$C$63)/12+IF($B113=Annahmen!$C$8,Annahmen!$C$60,0)))</f>
        <v>0</v>
      </c>
      <c r="H113" s="58" t="n">
        <f aca="false">IF($B113&gt;Annahmen!$C$8,0,IF($B113=0,-Annahmen!$C$66,IF($B113&lt;=Annahmen!$C$67*12,-Annahmen!$C$6/12/100*Annahmen!$C$72*$D113-(Annahmen!$C$73+Annahmen!$C$74+Annahmen!$C$75)/12+IF($B113=Annahmen!$C$67*12,Annahmen!$C$76-(Annahmen!$C$81+Annahmen!$C$41),0),-Annahmen!$C$6/12/100*Annahmen!$C$36*Annahmen!$C$27*$D113-(Annahmen!$C$39+Annahmen!$C$40+Annahmen!$C$42)/12+IF(MOD($B113,12)=0,Annahmen!$C$20,0)+IF($B113=Annahmen!$C$8,Annahmen!$C$82,0))+IF($B113=Annahmen!$C$67*12+Annahmen!$C$19,Annahmen!$C$17*Annahmen!$C$21,0)))</f>
        <v>0</v>
      </c>
      <c r="I113" s="59" t="n">
        <f aca="false">IF($B113&gt;Annahmen!$C$8,0,IF($B113=0,-(Annahmen!$C$86+Annahmen!$C$41)+Annahmen!$C$77,-Annahmen!$C$6/12/100*Annahmen!$C$89*Annahmen!$C$27*$D113-(Annahmen!$C$92+Annahmen!$C$93+Annahmen!$C$94+Annahmen!$C$95)/12+IF(MOD($B113,12)=0,Annahmen!$C$20,0)+IF($B113=Annahmen!$C$8,Annahmen!$C$91,0)))</f>
        <v>0</v>
      </c>
    </row>
    <row r="114" customFormat="false" ht="15" hidden="false" customHeight="true" outlineLevel="0" collapsed="false">
      <c r="B114" s="53" t="n">
        <v>108</v>
      </c>
      <c r="C114" s="54" t="n">
        <f aca="false">1/(1+Annahmen!$C$10)^$B114</f>
        <v>0.76641673234362</v>
      </c>
      <c r="D114" s="54" t="n">
        <f aca="false">(1+Annahmen!$C$11)^INT(MAX($B114-1,0)/12)</f>
        <v>1.17165938100227</v>
      </c>
      <c r="E114" s="55" t="n">
        <f aca="false">IF($B114&gt;Annahmen!$C$8,0,IF($B114=0,-(Annahmen!$C$33+Annahmen!$C$41)+Annahmen!$C$77,-Annahmen!$C$6/12/100*Annahmen!$C$36*Annahmen!$C$27*$D114-(Annahmen!$C$39+Annahmen!$C$40+Annahmen!$C$42)/12+IF($B114=Annahmen!$C$19,Annahmen!$C$17,0)+IF(MOD($B114,12)=0,Annahmen!$C$20,0)+IF($B114=Annahmen!$C$8,Annahmen!$C$38,0)))</f>
        <v>0</v>
      </c>
      <c r="F114" s="55" t="n">
        <f aca="false">IF($B114&gt;Annahmen!$C$8,0,IF($B114=0,-(Annahmen!$C$49+Annahmen!$C$41)+Annahmen!$C$77,-Annahmen!$C$46*(1+Annahmen!$C$48)^INT(($B114-1)/Annahmen!$C$47)-Annahmen!$C$6/12/100*Annahmen!$C$36*Annahmen!$C$27*$D114-(Annahmen!$C$53+Annahmen!$C$54)/12+IF($B114=Annahmen!$C$19,Annahmen!$C$17,0)+IF(MOD($B114,12)=0,Annahmen!$C$20,0)-IF(MOD($B114,Annahmen!$C$47)=0,Annahmen!$C$52,0)-IF(AND(MOD($B114,Annahmen!$C$47)=0,$B114&lt;Annahmen!$C$8),Annahmen!$C$49*(1+Annahmen!$C$48)^($B114/Annahmen!$C$47),0)))</f>
        <v>0</v>
      </c>
      <c r="G114" s="55" t="n">
        <f aca="false">IF($B114&gt;Annahmen!$C$8,0,IF($B114=0,-Annahmen!$C$57+Annahmen!$C$77,-Annahmen!$C$6/12/100*Annahmen!$C$58*Annahmen!$C$28*$D114-(Annahmen!$C$61+Annahmen!$C$62+Annahmen!$C$63)/12+IF($B114=Annahmen!$C$8,Annahmen!$C$60,0)))</f>
        <v>0</v>
      </c>
      <c r="H114" s="55" t="n">
        <f aca="false">IF($B114&gt;Annahmen!$C$8,0,IF($B114=0,-Annahmen!$C$66,IF($B114&lt;=Annahmen!$C$67*12,-Annahmen!$C$6/12/100*Annahmen!$C$72*$D114-(Annahmen!$C$73+Annahmen!$C$74+Annahmen!$C$75)/12+IF($B114=Annahmen!$C$67*12,Annahmen!$C$76-(Annahmen!$C$81+Annahmen!$C$41),0),-Annahmen!$C$6/12/100*Annahmen!$C$36*Annahmen!$C$27*$D114-(Annahmen!$C$39+Annahmen!$C$40+Annahmen!$C$42)/12+IF(MOD($B114,12)=0,Annahmen!$C$20,0)+IF($B114=Annahmen!$C$8,Annahmen!$C$82,0))+IF($B114=Annahmen!$C$67*12+Annahmen!$C$19,Annahmen!$C$17*Annahmen!$C$21,0)))</f>
        <v>0</v>
      </c>
      <c r="I114" s="56" t="n">
        <f aca="false">IF($B114&gt;Annahmen!$C$8,0,IF($B114=0,-(Annahmen!$C$86+Annahmen!$C$41)+Annahmen!$C$77,-Annahmen!$C$6/12/100*Annahmen!$C$89*Annahmen!$C$27*$D114-(Annahmen!$C$92+Annahmen!$C$93+Annahmen!$C$94+Annahmen!$C$95)/12+IF(MOD($B114,12)=0,Annahmen!$C$20,0)+IF($B114=Annahmen!$C$8,Annahmen!$C$91,0)))</f>
        <v>0</v>
      </c>
    </row>
    <row r="115" customFormat="false" ht="15" hidden="false" customHeight="true" outlineLevel="0" collapsed="false">
      <c r="B115" s="39" t="n">
        <v>109</v>
      </c>
      <c r="C115" s="57" t="n">
        <f aca="false">1/(1+Annahmen!$C$10)^$B115</f>
        <v>0.764531192174377</v>
      </c>
      <c r="D115" s="57" t="n">
        <f aca="false">(1+Annahmen!$C$11)^INT(MAX($B115-1,0)/12)</f>
        <v>1.19509256862231</v>
      </c>
      <c r="E115" s="58" t="n">
        <f aca="false">IF($B115&gt;Annahmen!$C$8,0,IF($B115=0,-(Annahmen!$C$33+Annahmen!$C$41)+Annahmen!$C$77,-Annahmen!$C$6/12/100*Annahmen!$C$36*Annahmen!$C$27*$D115-(Annahmen!$C$39+Annahmen!$C$40+Annahmen!$C$42)/12+IF($B115=Annahmen!$C$19,Annahmen!$C$17,0)+IF(MOD($B115,12)=0,Annahmen!$C$20,0)+IF($B115=Annahmen!$C$8,Annahmen!$C$38,0)))</f>
        <v>0</v>
      </c>
      <c r="F115" s="58" t="n">
        <f aca="false">IF($B115&gt;Annahmen!$C$8,0,IF($B115=0,-(Annahmen!$C$49+Annahmen!$C$41)+Annahmen!$C$77,-Annahmen!$C$46*(1+Annahmen!$C$48)^INT(($B115-1)/Annahmen!$C$47)-Annahmen!$C$6/12/100*Annahmen!$C$36*Annahmen!$C$27*$D115-(Annahmen!$C$53+Annahmen!$C$54)/12+IF($B115=Annahmen!$C$19,Annahmen!$C$17,0)+IF(MOD($B115,12)=0,Annahmen!$C$20,0)-IF(MOD($B115,Annahmen!$C$47)=0,Annahmen!$C$52,0)-IF(AND(MOD($B115,Annahmen!$C$47)=0,$B115&lt;Annahmen!$C$8),Annahmen!$C$49*(1+Annahmen!$C$48)^($B115/Annahmen!$C$47),0)))</f>
        <v>0</v>
      </c>
      <c r="G115" s="58" t="n">
        <f aca="false">IF($B115&gt;Annahmen!$C$8,0,IF($B115=0,-Annahmen!$C$57+Annahmen!$C$77,-Annahmen!$C$6/12/100*Annahmen!$C$58*Annahmen!$C$28*$D115-(Annahmen!$C$61+Annahmen!$C$62+Annahmen!$C$63)/12+IF($B115=Annahmen!$C$8,Annahmen!$C$60,0)))</f>
        <v>0</v>
      </c>
      <c r="H115" s="58" t="n">
        <f aca="false">IF($B115&gt;Annahmen!$C$8,0,IF($B115=0,-Annahmen!$C$66,IF($B115&lt;=Annahmen!$C$67*12,-Annahmen!$C$6/12/100*Annahmen!$C$72*$D115-(Annahmen!$C$73+Annahmen!$C$74+Annahmen!$C$75)/12+IF($B115=Annahmen!$C$67*12,Annahmen!$C$76-(Annahmen!$C$81+Annahmen!$C$41),0),-Annahmen!$C$6/12/100*Annahmen!$C$36*Annahmen!$C$27*$D115-(Annahmen!$C$39+Annahmen!$C$40+Annahmen!$C$42)/12+IF(MOD($B115,12)=0,Annahmen!$C$20,0)+IF($B115=Annahmen!$C$8,Annahmen!$C$82,0))+IF($B115=Annahmen!$C$67*12+Annahmen!$C$19,Annahmen!$C$17*Annahmen!$C$21,0)))</f>
        <v>0</v>
      </c>
      <c r="I115" s="59" t="n">
        <f aca="false">IF($B115&gt;Annahmen!$C$8,0,IF($B115=0,-(Annahmen!$C$86+Annahmen!$C$41)+Annahmen!$C$77,-Annahmen!$C$6/12/100*Annahmen!$C$89*Annahmen!$C$27*$D115-(Annahmen!$C$92+Annahmen!$C$93+Annahmen!$C$94+Annahmen!$C$95)/12+IF(MOD($B115,12)=0,Annahmen!$C$20,0)+IF($B115=Annahmen!$C$8,Annahmen!$C$91,0)))</f>
        <v>0</v>
      </c>
    </row>
    <row r="116" customFormat="false" ht="15" hidden="false" customHeight="true" outlineLevel="0" collapsed="false">
      <c r="B116" s="39" t="n">
        <v>110</v>
      </c>
      <c r="C116" s="57" t="n">
        <f aca="false">1/(1+Annahmen!$C$10)^$B116</f>
        <v>0.7626502908153</v>
      </c>
      <c r="D116" s="57" t="n">
        <f aca="false">(1+Annahmen!$C$11)^INT(MAX($B116-1,0)/12)</f>
        <v>1.19509256862231</v>
      </c>
      <c r="E116" s="58" t="n">
        <f aca="false">IF($B116&gt;Annahmen!$C$8,0,IF($B116=0,-(Annahmen!$C$33+Annahmen!$C$41)+Annahmen!$C$77,-Annahmen!$C$6/12/100*Annahmen!$C$36*Annahmen!$C$27*$D116-(Annahmen!$C$39+Annahmen!$C$40+Annahmen!$C$42)/12+IF($B116=Annahmen!$C$19,Annahmen!$C$17,0)+IF(MOD($B116,12)=0,Annahmen!$C$20,0)+IF($B116=Annahmen!$C$8,Annahmen!$C$38,0)))</f>
        <v>0</v>
      </c>
      <c r="F116" s="58" t="n">
        <f aca="false">IF($B116&gt;Annahmen!$C$8,0,IF($B116=0,-(Annahmen!$C$49+Annahmen!$C$41)+Annahmen!$C$77,-Annahmen!$C$46*(1+Annahmen!$C$48)^INT(($B116-1)/Annahmen!$C$47)-Annahmen!$C$6/12/100*Annahmen!$C$36*Annahmen!$C$27*$D116-(Annahmen!$C$53+Annahmen!$C$54)/12+IF($B116=Annahmen!$C$19,Annahmen!$C$17,0)+IF(MOD($B116,12)=0,Annahmen!$C$20,0)-IF(MOD($B116,Annahmen!$C$47)=0,Annahmen!$C$52,0)-IF(AND(MOD($B116,Annahmen!$C$47)=0,$B116&lt;Annahmen!$C$8),Annahmen!$C$49*(1+Annahmen!$C$48)^($B116/Annahmen!$C$47),0)))</f>
        <v>0</v>
      </c>
      <c r="G116" s="58" t="n">
        <f aca="false">IF($B116&gt;Annahmen!$C$8,0,IF($B116=0,-Annahmen!$C$57+Annahmen!$C$77,-Annahmen!$C$6/12/100*Annahmen!$C$58*Annahmen!$C$28*$D116-(Annahmen!$C$61+Annahmen!$C$62+Annahmen!$C$63)/12+IF($B116=Annahmen!$C$8,Annahmen!$C$60,0)))</f>
        <v>0</v>
      </c>
      <c r="H116" s="58" t="n">
        <f aca="false">IF($B116&gt;Annahmen!$C$8,0,IF($B116=0,-Annahmen!$C$66,IF($B116&lt;=Annahmen!$C$67*12,-Annahmen!$C$6/12/100*Annahmen!$C$72*$D116-(Annahmen!$C$73+Annahmen!$C$74+Annahmen!$C$75)/12+IF($B116=Annahmen!$C$67*12,Annahmen!$C$76-(Annahmen!$C$81+Annahmen!$C$41),0),-Annahmen!$C$6/12/100*Annahmen!$C$36*Annahmen!$C$27*$D116-(Annahmen!$C$39+Annahmen!$C$40+Annahmen!$C$42)/12+IF(MOD($B116,12)=0,Annahmen!$C$20,0)+IF($B116=Annahmen!$C$8,Annahmen!$C$82,0))+IF($B116=Annahmen!$C$67*12+Annahmen!$C$19,Annahmen!$C$17*Annahmen!$C$21,0)))</f>
        <v>0</v>
      </c>
      <c r="I116" s="59" t="n">
        <f aca="false">IF($B116&gt;Annahmen!$C$8,0,IF($B116=0,-(Annahmen!$C$86+Annahmen!$C$41)+Annahmen!$C$77,-Annahmen!$C$6/12/100*Annahmen!$C$89*Annahmen!$C$27*$D116-(Annahmen!$C$92+Annahmen!$C$93+Annahmen!$C$94+Annahmen!$C$95)/12+IF(MOD($B116,12)=0,Annahmen!$C$20,0)+IF($B116=Annahmen!$C$8,Annahmen!$C$91,0)))</f>
        <v>0</v>
      </c>
    </row>
    <row r="117" customFormat="false" ht="15" hidden="false" customHeight="true" outlineLevel="0" collapsed="false">
      <c r="B117" s="39" t="n">
        <v>111</v>
      </c>
      <c r="C117" s="57" t="n">
        <f aca="false">1/(1+Annahmen!$C$10)^$B117</f>
        <v>0.760774016853979</v>
      </c>
      <c r="D117" s="57" t="n">
        <f aca="false">(1+Annahmen!$C$11)^INT(MAX($B117-1,0)/12)</f>
        <v>1.19509256862231</v>
      </c>
      <c r="E117" s="58" t="n">
        <f aca="false">IF($B117&gt;Annahmen!$C$8,0,IF($B117=0,-(Annahmen!$C$33+Annahmen!$C$41)+Annahmen!$C$77,-Annahmen!$C$6/12/100*Annahmen!$C$36*Annahmen!$C$27*$D117-(Annahmen!$C$39+Annahmen!$C$40+Annahmen!$C$42)/12+IF($B117=Annahmen!$C$19,Annahmen!$C$17,0)+IF(MOD($B117,12)=0,Annahmen!$C$20,0)+IF($B117=Annahmen!$C$8,Annahmen!$C$38,0)))</f>
        <v>0</v>
      </c>
      <c r="F117" s="58" t="n">
        <f aca="false">IF($B117&gt;Annahmen!$C$8,0,IF($B117=0,-(Annahmen!$C$49+Annahmen!$C$41)+Annahmen!$C$77,-Annahmen!$C$46*(1+Annahmen!$C$48)^INT(($B117-1)/Annahmen!$C$47)-Annahmen!$C$6/12/100*Annahmen!$C$36*Annahmen!$C$27*$D117-(Annahmen!$C$53+Annahmen!$C$54)/12+IF($B117=Annahmen!$C$19,Annahmen!$C$17,0)+IF(MOD($B117,12)=0,Annahmen!$C$20,0)-IF(MOD($B117,Annahmen!$C$47)=0,Annahmen!$C$52,0)-IF(AND(MOD($B117,Annahmen!$C$47)=0,$B117&lt;Annahmen!$C$8),Annahmen!$C$49*(1+Annahmen!$C$48)^($B117/Annahmen!$C$47),0)))</f>
        <v>0</v>
      </c>
      <c r="G117" s="58" t="n">
        <f aca="false">IF($B117&gt;Annahmen!$C$8,0,IF($B117=0,-Annahmen!$C$57+Annahmen!$C$77,-Annahmen!$C$6/12/100*Annahmen!$C$58*Annahmen!$C$28*$D117-(Annahmen!$C$61+Annahmen!$C$62+Annahmen!$C$63)/12+IF($B117=Annahmen!$C$8,Annahmen!$C$60,0)))</f>
        <v>0</v>
      </c>
      <c r="H117" s="58" t="n">
        <f aca="false">IF($B117&gt;Annahmen!$C$8,0,IF($B117=0,-Annahmen!$C$66,IF($B117&lt;=Annahmen!$C$67*12,-Annahmen!$C$6/12/100*Annahmen!$C$72*$D117-(Annahmen!$C$73+Annahmen!$C$74+Annahmen!$C$75)/12+IF($B117=Annahmen!$C$67*12,Annahmen!$C$76-(Annahmen!$C$81+Annahmen!$C$41),0),-Annahmen!$C$6/12/100*Annahmen!$C$36*Annahmen!$C$27*$D117-(Annahmen!$C$39+Annahmen!$C$40+Annahmen!$C$42)/12+IF(MOD($B117,12)=0,Annahmen!$C$20,0)+IF($B117=Annahmen!$C$8,Annahmen!$C$82,0))+IF($B117=Annahmen!$C$67*12+Annahmen!$C$19,Annahmen!$C$17*Annahmen!$C$21,0)))</f>
        <v>0</v>
      </c>
      <c r="I117" s="59" t="n">
        <f aca="false">IF($B117&gt;Annahmen!$C$8,0,IF($B117=0,-(Annahmen!$C$86+Annahmen!$C$41)+Annahmen!$C$77,-Annahmen!$C$6/12/100*Annahmen!$C$89*Annahmen!$C$27*$D117-(Annahmen!$C$92+Annahmen!$C$93+Annahmen!$C$94+Annahmen!$C$95)/12+IF(MOD($B117,12)=0,Annahmen!$C$20,0)+IF($B117=Annahmen!$C$8,Annahmen!$C$91,0)))</f>
        <v>0</v>
      </c>
    </row>
    <row r="118" customFormat="false" ht="15" hidden="false" customHeight="true" outlineLevel="0" collapsed="false">
      <c r="B118" s="39" t="n">
        <v>112</v>
      </c>
      <c r="C118" s="57" t="n">
        <f aca="false">1/(1+Annahmen!$C$10)^$B118</f>
        <v>0.758902358906079</v>
      </c>
      <c r="D118" s="57" t="n">
        <f aca="false">(1+Annahmen!$C$11)^INT(MAX($B118-1,0)/12)</f>
        <v>1.19509256862231</v>
      </c>
      <c r="E118" s="58" t="n">
        <f aca="false">IF($B118&gt;Annahmen!$C$8,0,IF($B118=0,-(Annahmen!$C$33+Annahmen!$C$41)+Annahmen!$C$77,-Annahmen!$C$6/12/100*Annahmen!$C$36*Annahmen!$C$27*$D118-(Annahmen!$C$39+Annahmen!$C$40+Annahmen!$C$42)/12+IF($B118=Annahmen!$C$19,Annahmen!$C$17,0)+IF(MOD($B118,12)=0,Annahmen!$C$20,0)+IF($B118=Annahmen!$C$8,Annahmen!$C$38,0)))</f>
        <v>0</v>
      </c>
      <c r="F118" s="58" t="n">
        <f aca="false">IF($B118&gt;Annahmen!$C$8,0,IF($B118=0,-(Annahmen!$C$49+Annahmen!$C$41)+Annahmen!$C$77,-Annahmen!$C$46*(1+Annahmen!$C$48)^INT(($B118-1)/Annahmen!$C$47)-Annahmen!$C$6/12/100*Annahmen!$C$36*Annahmen!$C$27*$D118-(Annahmen!$C$53+Annahmen!$C$54)/12+IF($B118=Annahmen!$C$19,Annahmen!$C$17,0)+IF(MOD($B118,12)=0,Annahmen!$C$20,0)-IF(MOD($B118,Annahmen!$C$47)=0,Annahmen!$C$52,0)-IF(AND(MOD($B118,Annahmen!$C$47)=0,$B118&lt;Annahmen!$C$8),Annahmen!$C$49*(1+Annahmen!$C$48)^($B118/Annahmen!$C$47),0)))</f>
        <v>0</v>
      </c>
      <c r="G118" s="58" t="n">
        <f aca="false">IF($B118&gt;Annahmen!$C$8,0,IF($B118=0,-Annahmen!$C$57+Annahmen!$C$77,-Annahmen!$C$6/12/100*Annahmen!$C$58*Annahmen!$C$28*$D118-(Annahmen!$C$61+Annahmen!$C$62+Annahmen!$C$63)/12+IF($B118=Annahmen!$C$8,Annahmen!$C$60,0)))</f>
        <v>0</v>
      </c>
      <c r="H118" s="58" t="n">
        <f aca="false">IF($B118&gt;Annahmen!$C$8,0,IF($B118=0,-Annahmen!$C$66,IF($B118&lt;=Annahmen!$C$67*12,-Annahmen!$C$6/12/100*Annahmen!$C$72*$D118-(Annahmen!$C$73+Annahmen!$C$74+Annahmen!$C$75)/12+IF($B118=Annahmen!$C$67*12,Annahmen!$C$76-(Annahmen!$C$81+Annahmen!$C$41),0),-Annahmen!$C$6/12/100*Annahmen!$C$36*Annahmen!$C$27*$D118-(Annahmen!$C$39+Annahmen!$C$40+Annahmen!$C$42)/12+IF(MOD($B118,12)=0,Annahmen!$C$20,0)+IF($B118=Annahmen!$C$8,Annahmen!$C$82,0))+IF($B118=Annahmen!$C$67*12+Annahmen!$C$19,Annahmen!$C$17*Annahmen!$C$21,0)))</f>
        <v>0</v>
      </c>
      <c r="I118" s="59" t="n">
        <f aca="false">IF($B118&gt;Annahmen!$C$8,0,IF($B118=0,-(Annahmen!$C$86+Annahmen!$C$41)+Annahmen!$C$77,-Annahmen!$C$6/12/100*Annahmen!$C$89*Annahmen!$C$27*$D118-(Annahmen!$C$92+Annahmen!$C$93+Annahmen!$C$94+Annahmen!$C$95)/12+IF(MOD($B118,12)=0,Annahmen!$C$20,0)+IF($B118=Annahmen!$C$8,Annahmen!$C$91,0)))</f>
        <v>0</v>
      </c>
    </row>
    <row r="119" customFormat="false" ht="15" hidden="false" customHeight="true" outlineLevel="0" collapsed="false">
      <c r="B119" s="39" t="n">
        <v>113</v>
      </c>
      <c r="C119" s="57" t="n">
        <f aca="false">1/(1+Annahmen!$C$10)^$B119</f>
        <v>0.757035305615274</v>
      </c>
      <c r="D119" s="57" t="n">
        <f aca="false">(1+Annahmen!$C$11)^INT(MAX($B119-1,0)/12)</f>
        <v>1.19509256862231</v>
      </c>
      <c r="E119" s="58" t="n">
        <f aca="false">IF($B119&gt;Annahmen!$C$8,0,IF($B119=0,-(Annahmen!$C$33+Annahmen!$C$41)+Annahmen!$C$77,-Annahmen!$C$6/12/100*Annahmen!$C$36*Annahmen!$C$27*$D119-(Annahmen!$C$39+Annahmen!$C$40+Annahmen!$C$42)/12+IF($B119=Annahmen!$C$19,Annahmen!$C$17,0)+IF(MOD($B119,12)=0,Annahmen!$C$20,0)+IF($B119=Annahmen!$C$8,Annahmen!$C$38,0)))</f>
        <v>0</v>
      </c>
      <c r="F119" s="58" t="n">
        <f aca="false">IF($B119&gt;Annahmen!$C$8,0,IF($B119=0,-(Annahmen!$C$49+Annahmen!$C$41)+Annahmen!$C$77,-Annahmen!$C$46*(1+Annahmen!$C$48)^INT(($B119-1)/Annahmen!$C$47)-Annahmen!$C$6/12/100*Annahmen!$C$36*Annahmen!$C$27*$D119-(Annahmen!$C$53+Annahmen!$C$54)/12+IF($B119=Annahmen!$C$19,Annahmen!$C$17,0)+IF(MOD($B119,12)=0,Annahmen!$C$20,0)-IF(MOD($B119,Annahmen!$C$47)=0,Annahmen!$C$52,0)-IF(AND(MOD($B119,Annahmen!$C$47)=0,$B119&lt;Annahmen!$C$8),Annahmen!$C$49*(1+Annahmen!$C$48)^($B119/Annahmen!$C$47),0)))</f>
        <v>0</v>
      </c>
      <c r="G119" s="58" t="n">
        <f aca="false">IF($B119&gt;Annahmen!$C$8,0,IF($B119=0,-Annahmen!$C$57+Annahmen!$C$77,-Annahmen!$C$6/12/100*Annahmen!$C$58*Annahmen!$C$28*$D119-(Annahmen!$C$61+Annahmen!$C$62+Annahmen!$C$63)/12+IF($B119=Annahmen!$C$8,Annahmen!$C$60,0)))</f>
        <v>0</v>
      </c>
      <c r="H119" s="58" t="n">
        <f aca="false">IF($B119&gt;Annahmen!$C$8,0,IF($B119=0,-Annahmen!$C$66,IF($B119&lt;=Annahmen!$C$67*12,-Annahmen!$C$6/12/100*Annahmen!$C$72*$D119-(Annahmen!$C$73+Annahmen!$C$74+Annahmen!$C$75)/12+IF($B119=Annahmen!$C$67*12,Annahmen!$C$76-(Annahmen!$C$81+Annahmen!$C$41),0),-Annahmen!$C$6/12/100*Annahmen!$C$36*Annahmen!$C$27*$D119-(Annahmen!$C$39+Annahmen!$C$40+Annahmen!$C$42)/12+IF(MOD($B119,12)=0,Annahmen!$C$20,0)+IF($B119=Annahmen!$C$8,Annahmen!$C$82,0))+IF($B119=Annahmen!$C$67*12+Annahmen!$C$19,Annahmen!$C$17*Annahmen!$C$21,0)))</f>
        <v>0</v>
      </c>
      <c r="I119" s="59" t="n">
        <f aca="false">IF($B119&gt;Annahmen!$C$8,0,IF($B119=0,-(Annahmen!$C$86+Annahmen!$C$41)+Annahmen!$C$77,-Annahmen!$C$6/12/100*Annahmen!$C$89*Annahmen!$C$27*$D119-(Annahmen!$C$92+Annahmen!$C$93+Annahmen!$C$94+Annahmen!$C$95)/12+IF(MOD($B119,12)=0,Annahmen!$C$20,0)+IF($B119=Annahmen!$C$8,Annahmen!$C$91,0)))</f>
        <v>0</v>
      </c>
    </row>
    <row r="120" customFormat="false" ht="15" hidden="false" customHeight="true" outlineLevel="0" collapsed="false">
      <c r="B120" s="39" t="n">
        <v>114</v>
      </c>
      <c r="C120" s="57" t="n">
        <f aca="false">1/(1+Annahmen!$C$10)^$B120</f>
        <v>0.755172845653175</v>
      </c>
      <c r="D120" s="57" t="n">
        <f aca="false">(1+Annahmen!$C$11)^INT(MAX($B120-1,0)/12)</f>
        <v>1.19509256862231</v>
      </c>
      <c r="E120" s="58" t="n">
        <f aca="false">IF($B120&gt;Annahmen!$C$8,0,IF($B120=0,-(Annahmen!$C$33+Annahmen!$C$41)+Annahmen!$C$77,-Annahmen!$C$6/12/100*Annahmen!$C$36*Annahmen!$C$27*$D120-(Annahmen!$C$39+Annahmen!$C$40+Annahmen!$C$42)/12+IF($B120=Annahmen!$C$19,Annahmen!$C$17,0)+IF(MOD($B120,12)=0,Annahmen!$C$20,0)+IF($B120=Annahmen!$C$8,Annahmen!$C$38,0)))</f>
        <v>0</v>
      </c>
      <c r="F120" s="58" t="n">
        <f aca="false">IF($B120&gt;Annahmen!$C$8,0,IF($B120=0,-(Annahmen!$C$49+Annahmen!$C$41)+Annahmen!$C$77,-Annahmen!$C$46*(1+Annahmen!$C$48)^INT(($B120-1)/Annahmen!$C$47)-Annahmen!$C$6/12/100*Annahmen!$C$36*Annahmen!$C$27*$D120-(Annahmen!$C$53+Annahmen!$C$54)/12+IF($B120=Annahmen!$C$19,Annahmen!$C$17,0)+IF(MOD($B120,12)=0,Annahmen!$C$20,0)-IF(MOD($B120,Annahmen!$C$47)=0,Annahmen!$C$52,0)-IF(AND(MOD($B120,Annahmen!$C$47)=0,$B120&lt;Annahmen!$C$8),Annahmen!$C$49*(1+Annahmen!$C$48)^($B120/Annahmen!$C$47),0)))</f>
        <v>0</v>
      </c>
      <c r="G120" s="58" t="n">
        <f aca="false">IF($B120&gt;Annahmen!$C$8,0,IF($B120=0,-Annahmen!$C$57+Annahmen!$C$77,-Annahmen!$C$6/12/100*Annahmen!$C$58*Annahmen!$C$28*$D120-(Annahmen!$C$61+Annahmen!$C$62+Annahmen!$C$63)/12+IF($B120=Annahmen!$C$8,Annahmen!$C$60,0)))</f>
        <v>0</v>
      </c>
      <c r="H120" s="58" t="n">
        <f aca="false">IF($B120&gt;Annahmen!$C$8,0,IF($B120=0,-Annahmen!$C$66,IF($B120&lt;=Annahmen!$C$67*12,-Annahmen!$C$6/12/100*Annahmen!$C$72*$D120-(Annahmen!$C$73+Annahmen!$C$74+Annahmen!$C$75)/12+IF($B120=Annahmen!$C$67*12,Annahmen!$C$76-(Annahmen!$C$81+Annahmen!$C$41),0),-Annahmen!$C$6/12/100*Annahmen!$C$36*Annahmen!$C$27*$D120-(Annahmen!$C$39+Annahmen!$C$40+Annahmen!$C$42)/12+IF(MOD($B120,12)=0,Annahmen!$C$20,0)+IF($B120=Annahmen!$C$8,Annahmen!$C$82,0))+IF($B120=Annahmen!$C$67*12+Annahmen!$C$19,Annahmen!$C$17*Annahmen!$C$21,0)))</f>
        <v>0</v>
      </c>
      <c r="I120" s="59" t="n">
        <f aca="false">IF($B120&gt;Annahmen!$C$8,0,IF($B120=0,-(Annahmen!$C$86+Annahmen!$C$41)+Annahmen!$C$77,-Annahmen!$C$6/12/100*Annahmen!$C$89*Annahmen!$C$27*$D120-(Annahmen!$C$92+Annahmen!$C$93+Annahmen!$C$94+Annahmen!$C$95)/12+IF(MOD($B120,12)=0,Annahmen!$C$20,0)+IF($B120=Annahmen!$C$8,Annahmen!$C$91,0)))</f>
        <v>0</v>
      </c>
    </row>
    <row r="121" customFormat="false" ht="15" hidden="false" customHeight="true" outlineLevel="0" collapsed="false">
      <c r="B121" s="39" t="n">
        <v>115</v>
      </c>
      <c r="C121" s="57" t="n">
        <f aca="false">1/(1+Annahmen!$C$10)^$B121</f>
        <v>0.753314967719265</v>
      </c>
      <c r="D121" s="57" t="n">
        <f aca="false">(1+Annahmen!$C$11)^INT(MAX($B121-1,0)/12)</f>
        <v>1.19509256862231</v>
      </c>
      <c r="E121" s="58" t="n">
        <f aca="false">IF($B121&gt;Annahmen!$C$8,0,IF($B121=0,-(Annahmen!$C$33+Annahmen!$C$41)+Annahmen!$C$77,-Annahmen!$C$6/12/100*Annahmen!$C$36*Annahmen!$C$27*$D121-(Annahmen!$C$39+Annahmen!$C$40+Annahmen!$C$42)/12+IF($B121=Annahmen!$C$19,Annahmen!$C$17,0)+IF(MOD($B121,12)=0,Annahmen!$C$20,0)+IF($B121=Annahmen!$C$8,Annahmen!$C$38,0)))</f>
        <v>0</v>
      </c>
      <c r="F121" s="58" t="n">
        <f aca="false">IF($B121&gt;Annahmen!$C$8,0,IF($B121=0,-(Annahmen!$C$49+Annahmen!$C$41)+Annahmen!$C$77,-Annahmen!$C$46*(1+Annahmen!$C$48)^INT(($B121-1)/Annahmen!$C$47)-Annahmen!$C$6/12/100*Annahmen!$C$36*Annahmen!$C$27*$D121-(Annahmen!$C$53+Annahmen!$C$54)/12+IF($B121=Annahmen!$C$19,Annahmen!$C$17,0)+IF(MOD($B121,12)=0,Annahmen!$C$20,0)-IF(MOD($B121,Annahmen!$C$47)=0,Annahmen!$C$52,0)-IF(AND(MOD($B121,Annahmen!$C$47)=0,$B121&lt;Annahmen!$C$8),Annahmen!$C$49*(1+Annahmen!$C$48)^($B121/Annahmen!$C$47),0)))</f>
        <v>0</v>
      </c>
      <c r="G121" s="58" t="n">
        <f aca="false">IF($B121&gt;Annahmen!$C$8,0,IF($B121=0,-Annahmen!$C$57+Annahmen!$C$77,-Annahmen!$C$6/12/100*Annahmen!$C$58*Annahmen!$C$28*$D121-(Annahmen!$C$61+Annahmen!$C$62+Annahmen!$C$63)/12+IF($B121=Annahmen!$C$8,Annahmen!$C$60,0)))</f>
        <v>0</v>
      </c>
      <c r="H121" s="58" t="n">
        <f aca="false">IF($B121&gt;Annahmen!$C$8,0,IF($B121=0,-Annahmen!$C$66,IF($B121&lt;=Annahmen!$C$67*12,-Annahmen!$C$6/12/100*Annahmen!$C$72*$D121-(Annahmen!$C$73+Annahmen!$C$74+Annahmen!$C$75)/12+IF($B121=Annahmen!$C$67*12,Annahmen!$C$76-(Annahmen!$C$81+Annahmen!$C$41),0),-Annahmen!$C$6/12/100*Annahmen!$C$36*Annahmen!$C$27*$D121-(Annahmen!$C$39+Annahmen!$C$40+Annahmen!$C$42)/12+IF(MOD($B121,12)=0,Annahmen!$C$20,0)+IF($B121=Annahmen!$C$8,Annahmen!$C$82,0))+IF($B121=Annahmen!$C$67*12+Annahmen!$C$19,Annahmen!$C$17*Annahmen!$C$21,0)))</f>
        <v>0</v>
      </c>
      <c r="I121" s="59" t="n">
        <f aca="false">IF($B121&gt;Annahmen!$C$8,0,IF($B121=0,-(Annahmen!$C$86+Annahmen!$C$41)+Annahmen!$C$77,-Annahmen!$C$6/12/100*Annahmen!$C$89*Annahmen!$C$27*$D121-(Annahmen!$C$92+Annahmen!$C$93+Annahmen!$C$94+Annahmen!$C$95)/12+IF(MOD($B121,12)=0,Annahmen!$C$20,0)+IF($B121=Annahmen!$C$8,Annahmen!$C$91,0)))</f>
        <v>0</v>
      </c>
    </row>
    <row r="122" customFormat="false" ht="15" hidden="false" customHeight="true" outlineLevel="0" collapsed="false">
      <c r="B122" s="39" t="n">
        <v>116</v>
      </c>
      <c r="C122" s="57" t="n">
        <f aca="false">1/(1+Annahmen!$C$10)^$B122</f>
        <v>0.751461660540828</v>
      </c>
      <c r="D122" s="57" t="n">
        <f aca="false">(1+Annahmen!$C$11)^INT(MAX($B122-1,0)/12)</f>
        <v>1.19509256862231</v>
      </c>
      <c r="E122" s="58" t="n">
        <f aca="false">IF($B122&gt;Annahmen!$C$8,0,IF($B122=0,-(Annahmen!$C$33+Annahmen!$C$41)+Annahmen!$C$77,-Annahmen!$C$6/12/100*Annahmen!$C$36*Annahmen!$C$27*$D122-(Annahmen!$C$39+Annahmen!$C$40+Annahmen!$C$42)/12+IF($B122=Annahmen!$C$19,Annahmen!$C$17,0)+IF(MOD($B122,12)=0,Annahmen!$C$20,0)+IF($B122=Annahmen!$C$8,Annahmen!$C$38,0)))</f>
        <v>0</v>
      </c>
      <c r="F122" s="58" t="n">
        <f aca="false">IF($B122&gt;Annahmen!$C$8,0,IF($B122=0,-(Annahmen!$C$49+Annahmen!$C$41)+Annahmen!$C$77,-Annahmen!$C$46*(1+Annahmen!$C$48)^INT(($B122-1)/Annahmen!$C$47)-Annahmen!$C$6/12/100*Annahmen!$C$36*Annahmen!$C$27*$D122-(Annahmen!$C$53+Annahmen!$C$54)/12+IF($B122=Annahmen!$C$19,Annahmen!$C$17,0)+IF(MOD($B122,12)=0,Annahmen!$C$20,0)-IF(MOD($B122,Annahmen!$C$47)=0,Annahmen!$C$52,0)-IF(AND(MOD($B122,Annahmen!$C$47)=0,$B122&lt;Annahmen!$C$8),Annahmen!$C$49*(1+Annahmen!$C$48)^($B122/Annahmen!$C$47),0)))</f>
        <v>0</v>
      </c>
      <c r="G122" s="58" t="n">
        <f aca="false">IF($B122&gt;Annahmen!$C$8,0,IF($B122=0,-Annahmen!$C$57+Annahmen!$C$77,-Annahmen!$C$6/12/100*Annahmen!$C$58*Annahmen!$C$28*$D122-(Annahmen!$C$61+Annahmen!$C$62+Annahmen!$C$63)/12+IF($B122=Annahmen!$C$8,Annahmen!$C$60,0)))</f>
        <v>0</v>
      </c>
      <c r="H122" s="58" t="n">
        <f aca="false">IF($B122&gt;Annahmen!$C$8,0,IF($B122=0,-Annahmen!$C$66,IF($B122&lt;=Annahmen!$C$67*12,-Annahmen!$C$6/12/100*Annahmen!$C$72*$D122-(Annahmen!$C$73+Annahmen!$C$74+Annahmen!$C$75)/12+IF($B122=Annahmen!$C$67*12,Annahmen!$C$76-(Annahmen!$C$81+Annahmen!$C$41),0),-Annahmen!$C$6/12/100*Annahmen!$C$36*Annahmen!$C$27*$D122-(Annahmen!$C$39+Annahmen!$C$40+Annahmen!$C$42)/12+IF(MOD($B122,12)=0,Annahmen!$C$20,0)+IF($B122=Annahmen!$C$8,Annahmen!$C$82,0))+IF($B122=Annahmen!$C$67*12+Annahmen!$C$19,Annahmen!$C$17*Annahmen!$C$21,0)))</f>
        <v>0</v>
      </c>
      <c r="I122" s="59" t="n">
        <f aca="false">IF($B122&gt;Annahmen!$C$8,0,IF($B122=0,-(Annahmen!$C$86+Annahmen!$C$41)+Annahmen!$C$77,-Annahmen!$C$6/12/100*Annahmen!$C$89*Annahmen!$C$27*$D122-(Annahmen!$C$92+Annahmen!$C$93+Annahmen!$C$94+Annahmen!$C$95)/12+IF(MOD($B122,12)=0,Annahmen!$C$20,0)+IF($B122=Annahmen!$C$8,Annahmen!$C$91,0)))</f>
        <v>0</v>
      </c>
    </row>
    <row r="123" customFormat="false" ht="15" hidden="false" customHeight="true" outlineLevel="0" collapsed="false">
      <c r="B123" s="39" t="n">
        <v>117</v>
      </c>
      <c r="C123" s="57" t="n">
        <f aca="false">1/(1+Annahmen!$C$10)^$B123</f>
        <v>0.749612912872881</v>
      </c>
      <c r="D123" s="57" t="n">
        <f aca="false">(1+Annahmen!$C$11)^INT(MAX($B123-1,0)/12)</f>
        <v>1.19509256862231</v>
      </c>
      <c r="E123" s="58" t="n">
        <f aca="false">IF($B123&gt;Annahmen!$C$8,0,IF($B123=0,-(Annahmen!$C$33+Annahmen!$C$41)+Annahmen!$C$77,-Annahmen!$C$6/12/100*Annahmen!$C$36*Annahmen!$C$27*$D123-(Annahmen!$C$39+Annahmen!$C$40+Annahmen!$C$42)/12+IF($B123=Annahmen!$C$19,Annahmen!$C$17,0)+IF(MOD($B123,12)=0,Annahmen!$C$20,0)+IF($B123=Annahmen!$C$8,Annahmen!$C$38,0)))</f>
        <v>0</v>
      </c>
      <c r="F123" s="58" t="n">
        <f aca="false">IF($B123&gt;Annahmen!$C$8,0,IF($B123=0,-(Annahmen!$C$49+Annahmen!$C$41)+Annahmen!$C$77,-Annahmen!$C$46*(1+Annahmen!$C$48)^INT(($B123-1)/Annahmen!$C$47)-Annahmen!$C$6/12/100*Annahmen!$C$36*Annahmen!$C$27*$D123-(Annahmen!$C$53+Annahmen!$C$54)/12+IF($B123=Annahmen!$C$19,Annahmen!$C$17,0)+IF(MOD($B123,12)=0,Annahmen!$C$20,0)-IF(MOD($B123,Annahmen!$C$47)=0,Annahmen!$C$52,0)-IF(AND(MOD($B123,Annahmen!$C$47)=0,$B123&lt;Annahmen!$C$8),Annahmen!$C$49*(1+Annahmen!$C$48)^($B123/Annahmen!$C$47),0)))</f>
        <v>0</v>
      </c>
      <c r="G123" s="58" t="n">
        <f aca="false">IF($B123&gt;Annahmen!$C$8,0,IF($B123=0,-Annahmen!$C$57+Annahmen!$C$77,-Annahmen!$C$6/12/100*Annahmen!$C$58*Annahmen!$C$28*$D123-(Annahmen!$C$61+Annahmen!$C$62+Annahmen!$C$63)/12+IF($B123=Annahmen!$C$8,Annahmen!$C$60,0)))</f>
        <v>0</v>
      </c>
      <c r="H123" s="58" t="n">
        <f aca="false">IF($B123&gt;Annahmen!$C$8,0,IF($B123=0,-Annahmen!$C$66,IF($B123&lt;=Annahmen!$C$67*12,-Annahmen!$C$6/12/100*Annahmen!$C$72*$D123-(Annahmen!$C$73+Annahmen!$C$74+Annahmen!$C$75)/12+IF($B123=Annahmen!$C$67*12,Annahmen!$C$76-(Annahmen!$C$81+Annahmen!$C$41),0),-Annahmen!$C$6/12/100*Annahmen!$C$36*Annahmen!$C$27*$D123-(Annahmen!$C$39+Annahmen!$C$40+Annahmen!$C$42)/12+IF(MOD($B123,12)=0,Annahmen!$C$20,0)+IF($B123=Annahmen!$C$8,Annahmen!$C$82,0))+IF($B123=Annahmen!$C$67*12+Annahmen!$C$19,Annahmen!$C$17*Annahmen!$C$21,0)))</f>
        <v>0</v>
      </c>
      <c r="I123" s="59" t="n">
        <f aca="false">IF($B123&gt;Annahmen!$C$8,0,IF($B123=0,-(Annahmen!$C$86+Annahmen!$C$41)+Annahmen!$C$77,-Annahmen!$C$6/12/100*Annahmen!$C$89*Annahmen!$C$27*$D123-(Annahmen!$C$92+Annahmen!$C$93+Annahmen!$C$94+Annahmen!$C$95)/12+IF(MOD($B123,12)=0,Annahmen!$C$20,0)+IF($B123=Annahmen!$C$8,Annahmen!$C$91,0)))</f>
        <v>0</v>
      </c>
    </row>
    <row r="124" customFormat="false" ht="15" hidden="false" customHeight="true" outlineLevel="0" collapsed="false">
      <c r="B124" s="39" t="n">
        <v>118</v>
      </c>
      <c r="C124" s="57" t="n">
        <f aca="false">1/(1+Annahmen!$C$10)^$B124</f>
        <v>0.747768713498106</v>
      </c>
      <c r="D124" s="57" t="n">
        <f aca="false">(1+Annahmen!$C$11)^INT(MAX($B124-1,0)/12)</f>
        <v>1.19509256862231</v>
      </c>
      <c r="E124" s="58" t="n">
        <f aca="false">IF($B124&gt;Annahmen!$C$8,0,IF($B124=0,-(Annahmen!$C$33+Annahmen!$C$41)+Annahmen!$C$77,-Annahmen!$C$6/12/100*Annahmen!$C$36*Annahmen!$C$27*$D124-(Annahmen!$C$39+Annahmen!$C$40+Annahmen!$C$42)/12+IF($B124=Annahmen!$C$19,Annahmen!$C$17,0)+IF(MOD($B124,12)=0,Annahmen!$C$20,0)+IF($B124=Annahmen!$C$8,Annahmen!$C$38,0)))</f>
        <v>0</v>
      </c>
      <c r="F124" s="58" t="n">
        <f aca="false">IF($B124&gt;Annahmen!$C$8,0,IF($B124=0,-(Annahmen!$C$49+Annahmen!$C$41)+Annahmen!$C$77,-Annahmen!$C$46*(1+Annahmen!$C$48)^INT(($B124-1)/Annahmen!$C$47)-Annahmen!$C$6/12/100*Annahmen!$C$36*Annahmen!$C$27*$D124-(Annahmen!$C$53+Annahmen!$C$54)/12+IF($B124=Annahmen!$C$19,Annahmen!$C$17,0)+IF(MOD($B124,12)=0,Annahmen!$C$20,0)-IF(MOD($B124,Annahmen!$C$47)=0,Annahmen!$C$52,0)-IF(AND(MOD($B124,Annahmen!$C$47)=0,$B124&lt;Annahmen!$C$8),Annahmen!$C$49*(1+Annahmen!$C$48)^($B124/Annahmen!$C$47),0)))</f>
        <v>0</v>
      </c>
      <c r="G124" s="58" t="n">
        <f aca="false">IF($B124&gt;Annahmen!$C$8,0,IF($B124=0,-Annahmen!$C$57+Annahmen!$C$77,-Annahmen!$C$6/12/100*Annahmen!$C$58*Annahmen!$C$28*$D124-(Annahmen!$C$61+Annahmen!$C$62+Annahmen!$C$63)/12+IF($B124=Annahmen!$C$8,Annahmen!$C$60,0)))</f>
        <v>0</v>
      </c>
      <c r="H124" s="58" t="n">
        <f aca="false">IF($B124&gt;Annahmen!$C$8,0,IF($B124=0,-Annahmen!$C$66,IF($B124&lt;=Annahmen!$C$67*12,-Annahmen!$C$6/12/100*Annahmen!$C$72*$D124-(Annahmen!$C$73+Annahmen!$C$74+Annahmen!$C$75)/12+IF($B124=Annahmen!$C$67*12,Annahmen!$C$76-(Annahmen!$C$81+Annahmen!$C$41),0),-Annahmen!$C$6/12/100*Annahmen!$C$36*Annahmen!$C$27*$D124-(Annahmen!$C$39+Annahmen!$C$40+Annahmen!$C$42)/12+IF(MOD($B124,12)=0,Annahmen!$C$20,0)+IF($B124=Annahmen!$C$8,Annahmen!$C$82,0))+IF($B124=Annahmen!$C$67*12+Annahmen!$C$19,Annahmen!$C$17*Annahmen!$C$21,0)))</f>
        <v>0</v>
      </c>
      <c r="I124" s="59" t="n">
        <f aca="false">IF($B124&gt;Annahmen!$C$8,0,IF($B124=0,-(Annahmen!$C$86+Annahmen!$C$41)+Annahmen!$C$77,-Annahmen!$C$6/12/100*Annahmen!$C$89*Annahmen!$C$27*$D124-(Annahmen!$C$92+Annahmen!$C$93+Annahmen!$C$94+Annahmen!$C$95)/12+IF(MOD($B124,12)=0,Annahmen!$C$20,0)+IF($B124=Annahmen!$C$8,Annahmen!$C$91,0)))</f>
        <v>0</v>
      </c>
    </row>
    <row r="125" customFormat="false" ht="15" hidden="false" customHeight="true" outlineLevel="0" collapsed="false">
      <c r="B125" s="39" t="n">
        <v>119</v>
      </c>
      <c r="C125" s="57" t="n">
        <f aca="false">1/(1+Annahmen!$C$10)^$B125</f>
        <v>0.745929051226782</v>
      </c>
      <c r="D125" s="57" t="n">
        <f aca="false">(1+Annahmen!$C$11)^INT(MAX($B125-1,0)/12)</f>
        <v>1.19509256862231</v>
      </c>
      <c r="E125" s="58" t="n">
        <f aca="false">IF($B125&gt;Annahmen!$C$8,0,IF($B125=0,-(Annahmen!$C$33+Annahmen!$C$41)+Annahmen!$C$77,-Annahmen!$C$6/12/100*Annahmen!$C$36*Annahmen!$C$27*$D125-(Annahmen!$C$39+Annahmen!$C$40+Annahmen!$C$42)/12+IF($B125=Annahmen!$C$19,Annahmen!$C$17,0)+IF(MOD($B125,12)=0,Annahmen!$C$20,0)+IF($B125=Annahmen!$C$8,Annahmen!$C$38,0)))</f>
        <v>0</v>
      </c>
      <c r="F125" s="58" t="n">
        <f aca="false">IF($B125&gt;Annahmen!$C$8,0,IF($B125=0,-(Annahmen!$C$49+Annahmen!$C$41)+Annahmen!$C$77,-Annahmen!$C$46*(1+Annahmen!$C$48)^INT(($B125-1)/Annahmen!$C$47)-Annahmen!$C$6/12/100*Annahmen!$C$36*Annahmen!$C$27*$D125-(Annahmen!$C$53+Annahmen!$C$54)/12+IF($B125=Annahmen!$C$19,Annahmen!$C$17,0)+IF(MOD($B125,12)=0,Annahmen!$C$20,0)-IF(MOD($B125,Annahmen!$C$47)=0,Annahmen!$C$52,0)-IF(AND(MOD($B125,Annahmen!$C$47)=0,$B125&lt;Annahmen!$C$8),Annahmen!$C$49*(1+Annahmen!$C$48)^($B125/Annahmen!$C$47),0)))</f>
        <v>0</v>
      </c>
      <c r="G125" s="58" t="n">
        <f aca="false">IF($B125&gt;Annahmen!$C$8,0,IF($B125=0,-Annahmen!$C$57+Annahmen!$C$77,-Annahmen!$C$6/12/100*Annahmen!$C$58*Annahmen!$C$28*$D125-(Annahmen!$C$61+Annahmen!$C$62+Annahmen!$C$63)/12+IF($B125=Annahmen!$C$8,Annahmen!$C$60,0)))</f>
        <v>0</v>
      </c>
      <c r="H125" s="58" t="n">
        <f aca="false">IF($B125&gt;Annahmen!$C$8,0,IF($B125=0,-Annahmen!$C$66,IF($B125&lt;=Annahmen!$C$67*12,-Annahmen!$C$6/12/100*Annahmen!$C$72*$D125-(Annahmen!$C$73+Annahmen!$C$74+Annahmen!$C$75)/12+IF($B125=Annahmen!$C$67*12,Annahmen!$C$76-(Annahmen!$C$81+Annahmen!$C$41),0),-Annahmen!$C$6/12/100*Annahmen!$C$36*Annahmen!$C$27*$D125-(Annahmen!$C$39+Annahmen!$C$40+Annahmen!$C$42)/12+IF(MOD($B125,12)=0,Annahmen!$C$20,0)+IF($B125=Annahmen!$C$8,Annahmen!$C$82,0))+IF($B125=Annahmen!$C$67*12+Annahmen!$C$19,Annahmen!$C$17*Annahmen!$C$21,0)))</f>
        <v>0</v>
      </c>
      <c r="I125" s="59" t="n">
        <f aca="false">IF($B125&gt;Annahmen!$C$8,0,IF($B125=0,-(Annahmen!$C$86+Annahmen!$C$41)+Annahmen!$C$77,-Annahmen!$C$6/12/100*Annahmen!$C$89*Annahmen!$C$27*$D125-(Annahmen!$C$92+Annahmen!$C$93+Annahmen!$C$94+Annahmen!$C$95)/12+IF(MOD($B125,12)=0,Annahmen!$C$20,0)+IF($B125=Annahmen!$C$8,Annahmen!$C$91,0)))</f>
        <v>0</v>
      </c>
    </row>
    <row r="126" customFormat="false" ht="15" hidden="false" customHeight="true" outlineLevel="0" collapsed="false">
      <c r="B126" s="53" t="n">
        <v>120</v>
      </c>
      <c r="C126" s="54" t="n">
        <f aca="false">1/(1+Annahmen!$C$10)^$B126</f>
        <v>0.744093914896717</v>
      </c>
      <c r="D126" s="54" t="n">
        <f aca="false">(1+Annahmen!$C$11)^INT(MAX($B126-1,0)/12)</f>
        <v>1.19509256862231</v>
      </c>
      <c r="E126" s="55" t="n">
        <f aca="false">IF($B126&gt;Annahmen!$C$8,0,IF($B126=0,-(Annahmen!$C$33+Annahmen!$C$41)+Annahmen!$C$77,-Annahmen!$C$6/12/100*Annahmen!$C$36*Annahmen!$C$27*$D126-(Annahmen!$C$39+Annahmen!$C$40+Annahmen!$C$42)/12+IF($B126=Annahmen!$C$19,Annahmen!$C$17,0)+IF(MOD($B126,12)=0,Annahmen!$C$20,0)+IF($B126=Annahmen!$C$8,Annahmen!$C$38,0)))</f>
        <v>0</v>
      </c>
      <c r="F126" s="55" t="n">
        <f aca="false">IF($B126&gt;Annahmen!$C$8,0,IF($B126=0,-(Annahmen!$C$49+Annahmen!$C$41)+Annahmen!$C$77,-Annahmen!$C$46*(1+Annahmen!$C$48)^INT(($B126-1)/Annahmen!$C$47)-Annahmen!$C$6/12/100*Annahmen!$C$36*Annahmen!$C$27*$D126-(Annahmen!$C$53+Annahmen!$C$54)/12+IF($B126=Annahmen!$C$19,Annahmen!$C$17,0)+IF(MOD($B126,12)=0,Annahmen!$C$20,0)-IF(MOD($B126,Annahmen!$C$47)=0,Annahmen!$C$52,0)-IF(AND(MOD($B126,Annahmen!$C$47)=0,$B126&lt;Annahmen!$C$8),Annahmen!$C$49*(1+Annahmen!$C$48)^($B126/Annahmen!$C$47),0)))</f>
        <v>0</v>
      </c>
      <c r="G126" s="55" t="n">
        <f aca="false">IF($B126&gt;Annahmen!$C$8,0,IF($B126=0,-Annahmen!$C$57+Annahmen!$C$77,-Annahmen!$C$6/12/100*Annahmen!$C$58*Annahmen!$C$28*$D126-(Annahmen!$C$61+Annahmen!$C$62+Annahmen!$C$63)/12+IF($B126=Annahmen!$C$8,Annahmen!$C$60,0)))</f>
        <v>0</v>
      </c>
      <c r="H126" s="55" t="n">
        <f aca="false">IF($B126&gt;Annahmen!$C$8,0,IF($B126=0,-Annahmen!$C$66,IF($B126&lt;=Annahmen!$C$67*12,-Annahmen!$C$6/12/100*Annahmen!$C$72*$D126-(Annahmen!$C$73+Annahmen!$C$74+Annahmen!$C$75)/12+IF($B126=Annahmen!$C$67*12,Annahmen!$C$76-(Annahmen!$C$81+Annahmen!$C$41),0),-Annahmen!$C$6/12/100*Annahmen!$C$36*Annahmen!$C$27*$D126-(Annahmen!$C$39+Annahmen!$C$40+Annahmen!$C$42)/12+IF(MOD($B126,12)=0,Annahmen!$C$20,0)+IF($B126=Annahmen!$C$8,Annahmen!$C$82,0))+IF($B126=Annahmen!$C$67*12+Annahmen!$C$19,Annahmen!$C$17*Annahmen!$C$21,0)))</f>
        <v>0</v>
      </c>
      <c r="I126" s="56" t="n">
        <f aca="false">IF($B126&gt;Annahmen!$C$8,0,IF($B126=0,-(Annahmen!$C$86+Annahmen!$C$41)+Annahmen!$C$77,-Annahmen!$C$6/12/100*Annahmen!$C$89*Annahmen!$C$27*$D126-(Annahmen!$C$92+Annahmen!$C$93+Annahmen!$C$94+Annahmen!$C$95)/12+IF(MOD($B126,12)=0,Annahmen!$C$20,0)+IF($B126=Annahmen!$C$8,Annahmen!$C$91,0)))</f>
        <v>0</v>
      </c>
    </row>
    <row r="128" customFormat="false" ht="15" hidden="false" customHeight="true" outlineLevel="0" collapsed="false">
      <c r="B128" s="40" t="s">
        <v>271</v>
      </c>
      <c r="D128" s="40" t="s">
        <v>272</v>
      </c>
      <c r="E128" s="60" t="n">
        <f aca="false">SUMPRODUCT($C$6:$C$126,E6:E126)</f>
        <v>-20844.0262343616</v>
      </c>
      <c r="F128" s="60" t="n">
        <f aca="false">SUMPRODUCT($C$6:$C$126,F6:F126)</f>
        <v>-21880.1650495457</v>
      </c>
      <c r="G128" s="60" t="n">
        <f aca="false">SUMPRODUCT($C$6:$C$126,G6:G126)</f>
        <v>-28638.1236242331</v>
      </c>
      <c r="H128" s="60" t="n">
        <f aca="false">SUMPRODUCT($C$6:$C$126,H6:H126)</f>
        <v>-22774.3895195561</v>
      </c>
      <c r="I128" s="61" t="n">
        <f aca="false">SUMPRODUCT($C$6:$C$126,I6:I126)</f>
        <v>-21964.645208226</v>
      </c>
    </row>
    <row r="129" customFormat="false" ht="15" hidden="false" customHeight="true" outlineLevel="0" collapsed="false">
      <c r="B129" s="6" t="s">
        <v>273</v>
      </c>
      <c r="E129" s="58" t="n">
        <f aca="false">SUM(E6:E126)</f>
        <v>-20106.846748099</v>
      </c>
      <c r="F129" s="58" t="n">
        <f aca="false">SUM(F6:F126)</f>
        <v>-24298.9201715365</v>
      </c>
      <c r="G129" s="58" t="n">
        <f aca="false">SUM(G6:G126)</f>
        <v>-28598.1024741604</v>
      </c>
      <c r="H129" s="58" t="n">
        <f aca="false">SUM(H6:H126)</f>
        <v>-22723.9692066771</v>
      </c>
      <c r="I129" s="59" t="n">
        <f aca="false">SUM(I6:I126)</f>
        <v>-21556.4243616811</v>
      </c>
    </row>
    <row r="131" customFormat="false" ht="15" hidden="false" customHeight="true" outlineLevel="0" collapsed="false">
      <c r="B131" s="3" t="s">
        <v>274</v>
      </c>
    </row>
    <row r="132" customFormat="false" ht="15" hidden="false" customHeight="true" outlineLevel="0" collapsed="false">
      <c r="B132" s="3" t="s">
        <v>275</v>
      </c>
    </row>
    <row r="133" customFormat="false" ht="15" hidden="false" customHeight="true" outlineLevel="0" collapsed="false">
      <c r="B133" s="3" t="s">
        <v>276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0"/>
    <col collapsed="false" customWidth="true" hidden="false" outlineLevel="0" max="10" min="3" style="1" width="14"/>
  </cols>
  <sheetData>
    <row r="2" customFormat="false" ht="15.75" hidden="false" customHeight="true" outlineLevel="0" collapsed="false">
      <c r="B2" s="2" t="s">
        <v>277</v>
      </c>
    </row>
    <row r="3" customFormat="false" ht="15" hidden="false" customHeight="true" outlineLevel="0" collapsed="false">
      <c r="B3" s="3" t="s">
        <v>278</v>
      </c>
    </row>
    <row r="4" customFormat="false" ht="15" hidden="false" customHeight="true" outlineLevel="0" collapsed="false">
      <c r="B4" s="3" t="s">
        <v>279</v>
      </c>
    </row>
    <row r="6" customFormat="false" ht="15" hidden="false" customHeight="true" outlineLevel="0" collapsed="false">
      <c r="B6" s="6" t="s">
        <v>280</v>
      </c>
      <c r="C6" s="57" t="n">
        <f aca="false">(1-((1+Annahmen!$C$11)/(1+Annahmen!$C$9))^Annahmen!$C$67)/(Annahmen!$C$9-Annahmen!$C$11)</f>
        <v>1.9323216137242</v>
      </c>
    </row>
    <row r="7" customFormat="false" ht="15" hidden="false" customHeight="true" outlineLevel="0" collapsed="false">
      <c r="B7" s="6" t="s">
        <v>281</v>
      </c>
      <c r="C7" s="57" t="n">
        <f aca="false">((1+Annahmen!$C$9)^Annahmen!$C$67-1)/(Annahmen!$C$9*(1+Annahmen!$C$9)^Annahmen!$C$67)</f>
        <v>1.91346969554152</v>
      </c>
    </row>
    <row r="8" customFormat="false" ht="15" hidden="false" customHeight="true" outlineLevel="0" collapsed="false">
      <c r="B8" s="6" t="s">
        <v>282</v>
      </c>
      <c r="C8" s="58" t="n">
        <f aca="false">(Annahmen!$C$66+$C$7*(Annahmen!$C$73+Annahmen!$C$74+Annahmen!$C$75)-Annahmen!$C$76/(1+Annahmen!$C$9)^Annahmen!$C$67+(Annahmen!$C$81+Annahmen!$C$41)/(1+Annahmen!$C$9)^Annahmen!$C$67-Annahmen!$C$17*Annahmen!$C$21/(1+Annahmen!$C$9)^(Annahmen!$C$67+Annahmen!$C$19/12)-$C$7*(Annahmen!$C$39+Annahmen!$C$40+Annahmen!$C$42-Annahmen!$C$20)-Annahmen!$C$82/(1+Annahmen!$C$9)^Annahmen!$C$7)-((Annahmen!$C$33+Annahmen!$C$41)-Annahmen!$C$77-Annahmen!$C$17/(1+Annahmen!$C$10)^Annahmen!$C$19-Annahmen!$C$33*(1-Annahmen!$C$37)^Annahmen!$C$7/(1+Annahmen!$C$9)^Annahmen!$C$7)</f>
        <v>1126.48112382</v>
      </c>
      <c r="E8" s="3" t="s">
        <v>283</v>
      </c>
    </row>
    <row r="10" customFormat="false" ht="15" hidden="false" customHeight="true" outlineLevel="0" collapsed="false">
      <c r="B10" s="4" t="s">
        <v>284</v>
      </c>
    </row>
    <row r="11" customFormat="false" ht="15" hidden="false" customHeight="true" outlineLevel="0" collapsed="false">
      <c r="D11" s="40" t="s">
        <v>66</v>
      </c>
    </row>
    <row r="12" customFormat="false" ht="15" hidden="false" customHeight="true" outlineLevel="0" collapsed="false">
      <c r="B12" s="62" t="s">
        <v>285</v>
      </c>
      <c r="C12" s="63" t="n">
        <v>0.85</v>
      </c>
      <c r="D12" s="63" t="n">
        <v>0.99</v>
      </c>
      <c r="E12" s="63" t="n">
        <v>1.1</v>
      </c>
      <c r="F12" s="63" t="n">
        <v>1.15</v>
      </c>
      <c r="G12" s="63" t="n">
        <v>1.22</v>
      </c>
      <c r="H12" s="63" t="n">
        <v>1.35</v>
      </c>
    </row>
    <row r="13" customFormat="false" ht="15" hidden="false" customHeight="true" outlineLevel="0" collapsed="false">
      <c r="B13" s="64" t="n">
        <v>5000</v>
      </c>
      <c r="C13" s="23" t="n">
        <f aca="false">$C$8+$C$6*($B13/100)*((Annahmen!$C$71*Annahmen!$C$70*C$12+(1-Annahmen!$C$71)*Annahmen!$C$68*Annahmen!$C$28)-Annahmen!$C$36*Annahmen!$C$27)</f>
        <v>1341.32630244193</v>
      </c>
      <c r="D13" s="23" t="n">
        <f aca="false">$C$8+$C$6*($B13/100)*((Annahmen!$C$71*Annahmen!$C$70*D$12+(1-Annahmen!$C$71)*Annahmen!$C$68*Annahmen!$C$28)-Annahmen!$C$36*Annahmen!$C$27)</f>
        <v>1450.88893794009</v>
      </c>
      <c r="E13" s="23" t="n">
        <f aca="false">$C$8+$C$6*($B13/100)*((Annahmen!$C$71*Annahmen!$C$70*E$12+(1-Annahmen!$C$71)*Annahmen!$C$68*Annahmen!$C$28)-Annahmen!$C$36*Annahmen!$C$27)</f>
        <v>1536.9738658315</v>
      </c>
      <c r="F13" s="23" t="n">
        <f aca="false">$C$8+$C$6*($B13/100)*((Annahmen!$C$71*Annahmen!$C$70*F$12+(1-Annahmen!$C$71)*Annahmen!$C$68*Annahmen!$C$28)-Annahmen!$C$36*Annahmen!$C$27)</f>
        <v>1576.10337850942</v>
      </c>
      <c r="G13" s="23" t="n">
        <f aca="false">$C$8+$C$6*($B13/100)*((Annahmen!$C$71*Annahmen!$C$70*G$12+(1-Annahmen!$C$71)*Annahmen!$C$68*Annahmen!$C$28)-Annahmen!$C$36*Annahmen!$C$27)</f>
        <v>1630.8846962585</v>
      </c>
      <c r="H13" s="23" t="n">
        <f aca="false">$C$8+$C$6*($B13/100)*((Annahmen!$C$71*Annahmen!$C$70*H$12+(1-Annahmen!$C$71)*Annahmen!$C$68*Annahmen!$C$28)-Annahmen!$C$36*Annahmen!$C$27)</f>
        <v>1732.62142922108</v>
      </c>
    </row>
    <row r="14" customFormat="false" ht="15" hidden="false" customHeight="true" outlineLevel="0" collapsed="false">
      <c r="B14" s="64" t="n">
        <v>7500</v>
      </c>
      <c r="C14" s="23" t="n">
        <f aca="false">$C$8+$C$6*($B14/100)*((Annahmen!$C$71*Annahmen!$C$70*C$12+(1-Annahmen!$C$71)*Annahmen!$C$68*Annahmen!$C$28)-Annahmen!$C$36*Annahmen!$C$27)</f>
        <v>1448.74889175289</v>
      </c>
      <c r="D14" s="23" t="n">
        <f aca="false">$C$8+$C$6*($B14/100)*((Annahmen!$C$71*Annahmen!$C$70*D$12+(1-Annahmen!$C$71)*Annahmen!$C$68*Annahmen!$C$28)-Annahmen!$C$36*Annahmen!$C$27)</f>
        <v>1613.09284500013</v>
      </c>
      <c r="E14" s="23" t="n">
        <f aca="false">$C$8+$C$6*($B14/100)*((Annahmen!$C$71*Annahmen!$C$70*E$12+(1-Annahmen!$C$71)*Annahmen!$C$68*Annahmen!$C$28)-Annahmen!$C$36*Annahmen!$C$27)</f>
        <v>1742.22023683725</v>
      </c>
      <c r="F14" s="23" t="n">
        <f aca="false">$C$8+$C$6*($B14/100)*((Annahmen!$C$71*Annahmen!$C$70*F$12+(1-Annahmen!$C$71)*Annahmen!$C$68*Annahmen!$C$28)-Annahmen!$C$36*Annahmen!$C$27)</f>
        <v>1800.91450585413</v>
      </c>
      <c r="G14" s="23" t="n">
        <f aca="false">$C$8+$C$6*($B14/100)*((Annahmen!$C$71*Annahmen!$C$70*G$12+(1-Annahmen!$C$71)*Annahmen!$C$68*Annahmen!$C$28)-Annahmen!$C$36*Annahmen!$C$27)</f>
        <v>1883.08648247775</v>
      </c>
      <c r="H14" s="23" t="n">
        <f aca="false">$C$8+$C$6*($B14/100)*((Annahmen!$C$71*Annahmen!$C$70*H$12+(1-Annahmen!$C$71)*Annahmen!$C$68*Annahmen!$C$28)-Annahmen!$C$36*Annahmen!$C$27)</f>
        <v>2035.69158192162</v>
      </c>
    </row>
    <row r="15" customFormat="false" ht="15" hidden="false" customHeight="true" outlineLevel="0" collapsed="false">
      <c r="B15" s="64" t="n">
        <v>10000</v>
      </c>
      <c r="C15" s="23" t="n">
        <f aca="false">$C$8+$C$6*($B15/100)*((Annahmen!$C$71*Annahmen!$C$70*C$12+(1-Annahmen!$C$71)*Annahmen!$C$68*Annahmen!$C$28)-Annahmen!$C$36*Annahmen!$C$27)</f>
        <v>1556.17148106385</v>
      </c>
      <c r="D15" s="23" t="n">
        <f aca="false">$C$8+$C$6*($B15/100)*((Annahmen!$C$71*Annahmen!$C$70*D$12+(1-Annahmen!$C$71)*Annahmen!$C$68*Annahmen!$C$28)-Annahmen!$C$36*Annahmen!$C$27)</f>
        <v>1775.29675206018</v>
      </c>
      <c r="E15" s="23" t="n">
        <f aca="false">$C$8+$C$6*($B15/100)*((Annahmen!$C$71*Annahmen!$C$70*E$12+(1-Annahmen!$C$71)*Annahmen!$C$68*Annahmen!$C$28)-Annahmen!$C$36*Annahmen!$C$27)</f>
        <v>1947.466607843</v>
      </c>
      <c r="F15" s="23" t="n">
        <f aca="false">$C$8+$C$6*($B15/100)*((Annahmen!$C$71*Annahmen!$C$70*F$12+(1-Annahmen!$C$71)*Annahmen!$C$68*Annahmen!$C$28)-Annahmen!$C$36*Annahmen!$C$27)</f>
        <v>2025.72563319883</v>
      </c>
      <c r="G15" s="23" t="n">
        <f aca="false">$C$8+$C$6*($B15/100)*((Annahmen!$C$71*Annahmen!$C$70*G$12+(1-Annahmen!$C$71)*Annahmen!$C$68*Annahmen!$C$28)-Annahmen!$C$36*Annahmen!$C$27)</f>
        <v>2135.288268697</v>
      </c>
      <c r="H15" s="23" t="n">
        <f aca="false">$C$8+$C$6*($B15/100)*((Annahmen!$C$71*Annahmen!$C$70*H$12+(1-Annahmen!$C$71)*Annahmen!$C$68*Annahmen!$C$28)-Annahmen!$C$36*Annahmen!$C$27)</f>
        <v>2338.76173462215</v>
      </c>
    </row>
    <row r="16" customFormat="false" ht="15" hidden="false" customHeight="true" outlineLevel="0" collapsed="false">
      <c r="B16" s="64" t="n">
        <v>12500</v>
      </c>
      <c r="C16" s="23" t="n">
        <f aca="false">$C$8+$C$6*($B16/100)*((Annahmen!$C$71*Annahmen!$C$70*C$12+(1-Annahmen!$C$71)*Annahmen!$C$68*Annahmen!$C$28)-Annahmen!$C$36*Annahmen!$C$27)</f>
        <v>1663.59407037482</v>
      </c>
      <c r="D16" s="23" t="n">
        <f aca="false">$C$8+$C$6*($B16/100)*((Annahmen!$C$71*Annahmen!$C$70*D$12+(1-Annahmen!$C$71)*Annahmen!$C$68*Annahmen!$C$28)-Annahmen!$C$36*Annahmen!$C$27)</f>
        <v>1937.50065912022</v>
      </c>
      <c r="E16" s="23" t="n">
        <f aca="false">$C$8+$C$6*($B16/100)*((Annahmen!$C$71*Annahmen!$C$70*E$12+(1-Annahmen!$C$71)*Annahmen!$C$68*Annahmen!$C$28)-Annahmen!$C$36*Annahmen!$C$27)</f>
        <v>2152.71297884875</v>
      </c>
      <c r="F16" s="23" t="n">
        <f aca="false">$C$8+$C$6*($B16/100)*((Annahmen!$C$71*Annahmen!$C$70*F$12+(1-Annahmen!$C$71)*Annahmen!$C$68*Annahmen!$C$28)-Annahmen!$C$36*Annahmen!$C$27)</f>
        <v>2250.53676054354</v>
      </c>
      <c r="G16" s="23" t="n">
        <f aca="false">$C$8+$C$6*($B16/100)*((Annahmen!$C$71*Annahmen!$C$70*G$12+(1-Annahmen!$C$71)*Annahmen!$C$68*Annahmen!$C$28)-Annahmen!$C$36*Annahmen!$C$27)</f>
        <v>2387.49005491624</v>
      </c>
      <c r="H16" s="23" t="n">
        <f aca="false">$C$8+$C$6*($B16/100)*((Annahmen!$C$71*Annahmen!$C$70*H$12+(1-Annahmen!$C$71)*Annahmen!$C$68*Annahmen!$C$28)-Annahmen!$C$36*Annahmen!$C$27)</f>
        <v>2641.83188732269</v>
      </c>
    </row>
    <row r="17" customFormat="false" ht="15" hidden="false" customHeight="true" outlineLevel="0" collapsed="false">
      <c r="B17" s="64" t="n">
        <v>15000</v>
      </c>
      <c r="C17" s="23" t="n">
        <f aca="false">$C$8+$C$6*($B17/100)*((Annahmen!$C$71*Annahmen!$C$70*C$12+(1-Annahmen!$C$71)*Annahmen!$C$68*Annahmen!$C$28)-Annahmen!$C$36*Annahmen!$C$27)</f>
        <v>1771.01665968578</v>
      </c>
      <c r="D17" s="23" t="n">
        <f aca="false">$C$8+$C$6*($B17/100)*((Annahmen!$C$71*Annahmen!$C$70*D$12+(1-Annahmen!$C$71)*Annahmen!$C$68*Annahmen!$C$28)-Annahmen!$C$36*Annahmen!$C$27)</f>
        <v>2099.70456618026</v>
      </c>
      <c r="E17" s="23" t="n">
        <f aca="false">$C$8+$C$6*($B17/100)*((Annahmen!$C$71*Annahmen!$C$70*E$12+(1-Annahmen!$C$71)*Annahmen!$C$68*Annahmen!$C$28)-Annahmen!$C$36*Annahmen!$C$27)</f>
        <v>2357.9593498545</v>
      </c>
      <c r="F17" s="23" t="n">
        <f aca="false">$C$8+$C$6*($B17/100)*((Annahmen!$C$71*Annahmen!$C$70*F$12+(1-Annahmen!$C$71)*Annahmen!$C$68*Annahmen!$C$28)-Annahmen!$C$36*Annahmen!$C$27)</f>
        <v>2475.34788788825</v>
      </c>
      <c r="G17" s="23" t="n">
        <f aca="false">$C$8+$C$6*($B17/100)*((Annahmen!$C$71*Annahmen!$C$70*G$12+(1-Annahmen!$C$71)*Annahmen!$C$68*Annahmen!$C$28)-Annahmen!$C$36*Annahmen!$C$27)</f>
        <v>2639.69184113549</v>
      </c>
      <c r="H17" s="23" t="n">
        <f aca="false">$C$8+$C$6*($B17/100)*((Annahmen!$C$71*Annahmen!$C$70*H$12+(1-Annahmen!$C$71)*Annahmen!$C$68*Annahmen!$C$28)-Annahmen!$C$36*Annahmen!$C$27)</f>
        <v>2944.90204002323</v>
      </c>
    </row>
    <row r="18" customFormat="false" ht="15" hidden="false" customHeight="true" outlineLevel="0" collapsed="false">
      <c r="B18" s="64" t="n">
        <v>20000</v>
      </c>
      <c r="C18" s="23" t="n">
        <f aca="false">$C$8+$C$6*($B18/100)*((Annahmen!$C$71*Annahmen!$C$70*C$12+(1-Annahmen!$C$71)*Annahmen!$C$68*Annahmen!$C$28)-Annahmen!$C$36*Annahmen!$C$27)</f>
        <v>1985.8618383077</v>
      </c>
      <c r="D18" s="23" t="n">
        <f aca="false">$C$8+$C$6*($B18/100)*((Annahmen!$C$71*Annahmen!$C$70*D$12+(1-Annahmen!$C$71)*Annahmen!$C$68*Annahmen!$C$28)-Annahmen!$C$36*Annahmen!$C$27)</f>
        <v>2424.11238030035</v>
      </c>
      <c r="E18" s="23" t="n">
        <f aca="false">$C$8+$C$6*($B18/100)*((Annahmen!$C$71*Annahmen!$C$70*E$12+(1-Annahmen!$C$71)*Annahmen!$C$68*Annahmen!$C$28)-Annahmen!$C$36*Annahmen!$C$27)</f>
        <v>2768.452091866</v>
      </c>
      <c r="F18" s="23" t="n">
        <f aca="false">$C$8+$C$6*($B18/100)*((Annahmen!$C$71*Annahmen!$C$70*F$12+(1-Annahmen!$C$71)*Annahmen!$C$68*Annahmen!$C$28)-Annahmen!$C$36*Annahmen!$C$27)</f>
        <v>2924.97014257766</v>
      </c>
      <c r="G18" s="23" t="n">
        <f aca="false">$C$8+$C$6*($B18/100)*((Annahmen!$C$71*Annahmen!$C$70*G$12+(1-Annahmen!$C$71)*Annahmen!$C$68*Annahmen!$C$28)-Annahmen!$C$36*Annahmen!$C$27)</f>
        <v>3144.09541357399</v>
      </c>
      <c r="H18" s="23" t="n">
        <f aca="false">$C$8+$C$6*($B18/100)*((Annahmen!$C$71*Annahmen!$C$70*H$12+(1-Annahmen!$C$71)*Annahmen!$C$68*Annahmen!$C$28)-Annahmen!$C$36*Annahmen!$C$27)</f>
        <v>3551.0423454243</v>
      </c>
    </row>
    <row r="19" customFormat="false" ht="15" hidden="false" customHeight="true" outlineLevel="0" collapsed="false">
      <c r="B19" s="64" t="n">
        <v>25000</v>
      </c>
      <c r="C19" s="23" t="n">
        <f aca="false">$C$8+$C$6*($B19/100)*((Annahmen!$C$71*Annahmen!$C$70*C$12+(1-Annahmen!$C$71)*Annahmen!$C$68*Annahmen!$C$28)-Annahmen!$C$36*Annahmen!$C$27)</f>
        <v>2200.70701692963</v>
      </c>
      <c r="D19" s="23" t="n">
        <f aca="false">$C$8+$C$6*($B19/100)*((Annahmen!$C$71*Annahmen!$C$70*D$12+(1-Annahmen!$C$71)*Annahmen!$C$68*Annahmen!$C$28)-Annahmen!$C$36*Annahmen!$C$27)</f>
        <v>2748.52019442044</v>
      </c>
      <c r="E19" s="23" t="n">
        <f aca="false">$C$8+$C$6*($B19/100)*((Annahmen!$C$71*Annahmen!$C$70*E$12+(1-Annahmen!$C$71)*Annahmen!$C$68*Annahmen!$C$28)-Annahmen!$C$36*Annahmen!$C$27)</f>
        <v>3178.9448338775</v>
      </c>
      <c r="F19" s="23" t="n">
        <f aca="false">$C$8+$C$6*($B19/100)*((Annahmen!$C$71*Annahmen!$C$70*F$12+(1-Annahmen!$C$71)*Annahmen!$C$68*Annahmen!$C$28)-Annahmen!$C$36*Annahmen!$C$27)</f>
        <v>3374.59239726708</v>
      </c>
      <c r="G19" s="23" t="n">
        <f aca="false">$C$8+$C$6*($B19/100)*((Annahmen!$C$71*Annahmen!$C$70*G$12+(1-Annahmen!$C$71)*Annahmen!$C$68*Annahmen!$C$28)-Annahmen!$C$36*Annahmen!$C$27)</f>
        <v>3648.49898601248</v>
      </c>
      <c r="H19" s="23" t="n">
        <f aca="false">$C$8+$C$6*($B19/100)*((Annahmen!$C$71*Annahmen!$C$70*H$12+(1-Annahmen!$C$71)*Annahmen!$C$68*Annahmen!$C$28)-Annahmen!$C$36*Annahmen!$C$27)</f>
        <v>4157.18265082538</v>
      </c>
    </row>
    <row r="20" customFormat="false" ht="15" hidden="false" customHeight="true" outlineLevel="0" collapsed="false">
      <c r="B20" s="64" t="n">
        <v>30000</v>
      </c>
      <c r="C20" s="23" t="n">
        <f aca="false">$C$8+$C$6*($B20/100)*((Annahmen!$C$71*Annahmen!$C$70*C$12+(1-Annahmen!$C$71)*Annahmen!$C$68*Annahmen!$C$28)-Annahmen!$C$36*Annahmen!$C$27)</f>
        <v>2415.55219555155</v>
      </c>
      <c r="D20" s="23" t="n">
        <f aca="false">$C$8+$C$6*($B20/100)*((Annahmen!$C$71*Annahmen!$C$70*D$12+(1-Annahmen!$C$71)*Annahmen!$C$68*Annahmen!$C$28)-Annahmen!$C$36*Annahmen!$C$27)</f>
        <v>3072.92800854053</v>
      </c>
      <c r="E20" s="23" t="n">
        <f aca="false">$C$8+$C$6*($B20/100)*((Annahmen!$C$71*Annahmen!$C$70*E$12+(1-Annahmen!$C$71)*Annahmen!$C$68*Annahmen!$C$28)-Annahmen!$C$36*Annahmen!$C$27)</f>
        <v>3589.437575889</v>
      </c>
      <c r="F20" s="23" t="n">
        <f aca="false">$C$8+$C$6*($B20/100)*((Annahmen!$C$71*Annahmen!$C$70*F$12+(1-Annahmen!$C$71)*Annahmen!$C$68*Annahmen!$C$28)-Annahmen!$C$36*Annahmen!$C$27)</f>
        <v>3824.21465195649</v>
      </c>
      <c r="G20" s="23" t="n">
        <f aca="false">$C$8+$C$6*($B20/100)*((Annahmen!$C$71*Annahmen!$C$70*G$12+(1-Annahmen!$C$71)*Annahmen!$C$68*Annahmen!$C$28)-Annahmen!$C$36*Annahmen!$C$27)</f>
        <v>4152.90255845098</v>
      </c>
      <c r="H20" s="23" t="n">
        <f aca="false">$C$8+$C$6*($B20/100)*((Annahmen!$C$71*Annahmen!$C$70*H$12+(1-Annahmen!$C$71)*Annahmen!$C$68*Annahmen!$C$28)-Annahmen!$C$36*Annahmen!$C$27)</f>
        <v>4763.32295622645</v>
      </c>
    </row>
    <row r="22" customFormat="false" ht="15" hidden="false" customHeight="true" outlineLevel="0" collapsed="false">
      <c r="B22" s="4" t="s">
        <v>286</v>
      </c>
    </row>
    <row r="23" customFormat="false" ht="15" hidden="false" customHeight="true" outlineLevel="0" collapsed="false">
      <c r="D23" s="40" t="s">
        <v>287</v>
      </c>
    </row>
    <row r="24" customFormat="false" ht="15" hidden="false" customHeight="true" outlineLevel="0" collapsed="false">
      <c r="B24" s="62" t="s">
        <v>285</v>
      </c>
      <c r="C24" s="65" t="n">
        <v>0</v>
      </c>
      <c r="D24" s="65" t="n">
        <v>1000</v>
      </c>
      <c r="E24" s="65" t="n">
        <v>2000</v>
      </c>
      <c r="F24" s="65" t="n">
        <v>2500</v>
      </c>
      <c r="G24" s="65" t="n">
        <v>3500</v>
      </c>
      <c r="H24" s="65" t="n">
        <v>5000</v>
      </c>
    </row>
    <row r="25" customFormat="false" ht="15" hidden="false" customHeight="true" outlineLevel="0" collapsed="false">
      <c r="B25" s="64" t="n">
        <v>5000</v>
      </c>
      <c r="C25" s="23" t="n">
        <f aca="false">$C$8-Annahmen!$C$66+C$24+$C$6*($B25/100)*(Annahmen!$C$72-Annahmen!$C$36*Annahmen!$C$27)</f>
        <v>-1049.11106205991</v>
      </c>
      <c r="D25" s="23" t="n">
        <f aca="false">$C$8-Annahmen!$C$66+D$24+$C$6*($B25/100)*(Annahmen!$C$72-Annahmen!$C$36*Annahmen!$C$27)</f>
        <v>-49.1110620599094</v>
      </c>
      <c r="E25" s="23" t="n">
        <f aca="false">$C$8-Annahmen!$C$66+E$24+$C$6*($B25/100)*(Annahmen!$C$72-Annahmen!$C$36*Annahmen!$C$27)</f>
        <v>950.888937940091</v>
      </c>
      <c r="F25" s="23" t="n">
        <f aca="false">$C$8-Annahmen!$C$66+F$24+$C$6*($B25/100)*(Annahmen!$C$72-Annahmen!$C$36*Annahmen!$C$27)</f>
        <v>1450.88893794009</v>
      </c>
      <c r="G25" s="23" t="n">
        <f aca="false">$C$8-Annahmen!$C$66+G$24+$C$6*($B25/100)*(Annahmen!$C$72-Annahmen!$C$36*Annahmen!$C$27)</f>
        <v>2450.88893794009</v>
      </c>
      <c r="H25" s="23" t="n">
        <f aca="false">$C$8-Annahmen!$C$66+H$24+$C$6*($B25/100)*(Annahmen!$C$72-Annahmen!$C$36*Annahmen!$C$27)</f>
        <v>3950.88893794009</v>
      </c>
    </row>
    <row r="26" customFormat="false" ht="15" hidden="false" customHeight="true" outlineLevel="0" collapsed="false">
      <c r="B26" s="64" t="n">
        <v>7500</v>
      </c>
      <c r="C26" s="23" t="n">
        <f aca="false">$C$8-Annahmen!$C$66+C$24+$C$6*($B26/100)*(Annahmen!$C$72-Annahmen!$C$36*Annahmen!$C$27)</f>
        <v>-886.907154999866</v>
      </c>
      <c r="D26" s="23" t="n">
        <f aca="false">$C$8-Annahmen!$C$66+D$24+$C$6*($B26/100)*(Annahmen!$C$72-Annahmen!$C$36*Annahmen!$C$27)</f>
        <v>113.092845000134</v>
      </c>
      <c r="E26" s="23" t="n">
        <f aca="false">$C$8-Annahmen!$C$66+E$24+$C$6*($B26/100)*(Annahmen!$C$72-Annahmen!$C$36*Annahmen!$C$27)</f>
        <v>1113.09284500013</v>
      </c>
      <c r="F26" s="23" t="n">
        <f aca="false">$C$8-Annahmen!$C$66+F$24+$C$6*($B26/100)*(Annahmen!$C$72-Annahmen!$C$36*Annahmen!$C$27)</f>
        <v>1613.09284500013</v>
      </c>
      <c r="G26" s="23" t="n">
        <f aca="false">$C$8-Annahmen!$C$66+G$24+$C$6*($B26/100)*(Annahmen!$C$72-Annahmen!$C$36*Annahmen!$C$27)</f>
        <v>2613.09284500013</v>
      </c>
      <c r="H26" s="23" t="n">
        <f aca="false">$C$8-Annahmen!$C$66+H$24+$C$6*($B26/100)*(Annahmen!$C$72-Annahmen!$C$36*Annahmen!$C$27)</f>
        <v>4113.09284500013</v>
      </c>
    </row>
    <row r="27" customFormat="false" ht="15" hidden="false" customHeight="true" outlineLevel="0" collapsed="false">
      <c r="B27" s="64" t="n">
        <v>10000</v>
      </c>
      <c r="C27" s="23" t="n">
        <f aca="false">$C$8-Annahmen!$C$66+C$24+$C$6*($B27/100)*(Annahmen!$C$72-Annahmen!$C$36*Annahmen!$C$27)</f>
        <v>-724.703247939823</v>
      </c>
      <c r="D27" s="23" t="n">
        <f aca="false">$C$8-Annahmen!$C$66+D$24+$C$6*($B27/100)*(Annahmen!$C$72-Annahmen!$C$36*Annahmen!$C$27)</f>
        <v>275.296752060178</v>
      </c>
      <c r="E27" s="23" t="n">
        <f aca="false">$C$8-Annahmen!$C$66+E$24+$C$6*($B27/100)*(Annahmen!$C$72-Annahmen!$C$36*Annahmen!$C$27)</f>
        <v>1275.29675206018</v>
      </c>
      <c r="F27" s="23" t="n">
        <f aca="false">$C$8-Annahmen!$C$66+F$24+$C$6*($B27/100)*(Annahmen!$C$72-Annahmen!$C$36*Annahmen!$C$27)</f>
        <v>1775.29675206018</v>
      </c>
      <c r="G27" s="23" t="n">
        <f aca="false">$C$8-Annahmen!$C$66+G$24+$C$6*($B27/100)*(Annahmen!$C$72-Annahmen!$C$36*Annahmen!$C$27)</f>
        <v>2775.29675206018</v>
      </c>
      <c r="H27" s="23" t="n">
        <f aca="false">$C$8-Annahmen!$C$66+H$24+$C$6*($B27/100)*(Annahmen!$C$72-Annahmen!$C$36*Annahmen!$C$27)</f>
        <v>4275.29675206018</v>
      </c>
    </row>
    <row r="28" customFormat="false" ht="15" hidden="false" customHeight="true" outlineLevel="0" collapsed="false">
      <c r="B28" s="64" t="n">
        <v>12500</v>
      </c>
      <c r="C28" s="23" t="n">
        <f aca="false">$C$8-Annahmen!$C$66+C$24+$C$6*($B28/100)*(Annahmen!$C$72-Annahmen!$C$36*Annahmen!$C$27)</f>
        <v>-562.499340879779</v>
      </c>
      <c r="D28" s="23" t="n">
        <f aca="false">$C$8-Annahmen!$C$66+D$24+$C$6*($B28/100)*(Annahmen!$C$72-Annahmen!$C$36*Annahmen!$C$27)</f>
        <v>437.500659120221</v>
      </c>
      <c r="E28" s="23" t="n">
        <f aca="false">$C$8-Annahmen!$C$66+E$24+$C$6*($B28/100)*(Annahmen!$C$72-Annahmen!$C$36*Annahmen!$C$27)</f>
        <v>1437.50065912022</v>
      </c>
      <c r="F28" s="23" t="n">
        <f aca="false">$C$8-Annahmen!$C$66+F$24+$C$6*($B28/100)*(Annahmen!$C$72-Annahmen!$C$36*Annahmen!$C$27)</f>
        <v>1937.50065912022</v>
      </c>
      <c r="G28" s="23" t="n">
        <f aca="false">$C$8-Annahmen!$C$66+G$24+$C$6*($B28/100)*(Annahmen!$C$72-Annahmen!$C$36*Annahmen!$C$27)</f>
        <v>2937.50065912022</v>
      </c>
      <c r="H28" s="23" t="n">
        <f aca="false">$C$8-Annahmen!$C$66+H$24+$C$6*($B28/100)*(Annahmen!$C$72-Annahmen!$C$36*Annahmen!$C$27)</f>
        <v>4437.50065912022</v>
      </c>
    </row>
    <row r="29" customFormat="false" ht="15" hidden="false" customHeight="true" outlineLevel="0" collapsed="false">
      <c r="B29" s="64" t="n">
        <v>15000</v>
      </c>
      <c r="C29" s="23" t="n">
        <f aca="false">$C$8-Annahmen!$C$66+C$24+$C$6*($B29/100)*(Annahmen!$C$72-Annahmen!$C$36*Annahmen!$C$27)</f>
        <v>-400.295433819736</v>
      </c>
      <c r="D29" s="23" t="n">
        <f aca="false">$C$8-Annahmen!$C$66+D$24+$C$6*($B29/100)*(Annahmen!$C$72-Annahmen!$C$36*Annahmen!$C$27)</f>
        <v>599.704566180265</v>
      </c>
      <c r="E29" s="23" t="n">
        <f aca="false">$C$8-Annahmen!$C$66+E$24+$C$6*($B29/100)*(Annahmen!$C$72-Annahmen!$C$36*Annahmen!$C$27)</f>
        <v>1599.70456618026</v>
      </c>
      <c r="F29" s="23" t="n">
        <f aca="false">$C$8-Annahmen!$C$66+F$24+$C$6*($B29/100)*(Annahmen!$C$72-Annahmen!$C$36*Annahmen!$C$27)</f>
        <v>2099.70456618026</v>
      </c>
      <c r="G29" s="23" t="n">
        <f aca="false">$C$8-Annahmen!$C$66+G$24+$C$6*($B29/100)*(Annahmen!$C$72-Annahmen!$C$36*Annahmen!$C$27)</f>
        <v>3099.70456618026</v>
      </c>
      <c r="H29" s="23" t="n">
        <f aca="false">$C$8-Annahmen!$C$66+H$24+$C$6*($B29/100)*(Annahmen!$C$72-Annahmen!$C$36*Annahmen!$C$27)</f>
        <v>4599.70456618026</v>
      </c>
    </row>
    <row r="30" customFormat="false" ht="15" hidden="false" customHeight="true" outlineLevel="0" collapsed="false">
      <c r="B30" s="64" t="n">
        <v>20000</v>
      </c>
      <c r="C30" s="23" t="n">
        <f aca="false">$C$8-Annahmen!$C$66+C$24+$C$6*($B30/100)*(Annahmen!$C$72-Annahmen!$C$36*Annahmen!$C$27)</f>
        <v>-75.8876196996487</v>
      </c>
      <c r="D30" s="23" t="n">
        <f aca="false">$C$8-Annahmen!$C$66+D$24+$C$6*($B30/100)*(Annahmen!$C$72-Annahmen!$C$36*Annahmen!$C$27)</f>
        <v>924.112380300351</v>
      </c>
      <c r="E30" s="23" t="n">
        <f aca="false">$C$8-Annahmen!$C$66+E$24+$C$6*($B30/100)*(Annahmen!$C$72-Annahmen!$C$36*Annahmen!$C$27)</f>
        <v>1924.11238030035</v>
      </c>
      <c r="F30" s="23" t="n">
        <f aca="false">$C$8-Annahmen!$C$66+F$24+$C$6*($B30/100)*(Annahmen!$C$72-Annahmen!$C$36*Annahmen!$C$27)</f>
        <v>2424.11238030035</v>
      </c>
      <c r="G30" s="23" t="n">
        <f aca="false">$C$8-Annahmen!$C$66+G$24+$C$6*($B30/100)*(Annahmen!$C$72-Annahmen!$C$36*Annahmen!$C$27)</f>
        <v>3424.11238030035</v>
      </c>
      <c r="H30" s="23" t="n">
        <f aca="false">$C$8-Annahmen!$C$66+H$24+$C$6*($B30/100)*(Annahmen!$C$72-Annahmen!$C$36*Annahmen!$C$27)</f>
        <v>4924.11238030035</v>
      </c>
    </row>
    <row r="31" customFormat="false" ht="15" hidden="false" customHeight="true" outlineLevel="0" collapsed="false">
      <c r="B31" s="64" t="n">
        <v>25000</v>
      </c>
      <c r="C31" s="23" t="n">
        <f aca="false">$C$8-Annahmen!$C$66+C$24+$C$6*($B31/100)*(Annahmen!$C$72-Annahmen!$C$36*Annahmen!$C$27)</f>
        <v>248.520194420438</v>
      </c>
      <c r="D31" s="23" t="n">
        <f aca="false">$C$8-Annahmen!$C$66+D$24+$C$6*($B31/100)*(Annahmen!$C$72-Annahmen!$C$36*Annahmen!$C$27)</f>
        <v>1248.52019442044</v>
      </c>
      <c r="E31" s="23" t="n">
        <f aca="false">$C$8-Annahmen!$C$66+E$24+$C$6*($B31/100)*(Annahmen!$C$72-Annahmen!$C$36*Annahmen!$C$27)</f>
        <v>2248.52019442044</v>
      </c>
      <c r="F31" s="23" t="n">
        <f aca="false">$C$8-Annahmen!$C$66+F$24+$C$6*($B31/100)*(Annahmen!$C$72-Annahmen!$C$36*Annahmen!$C$27)</f>
        <v>2748.52019442044</v>
      </c>
      <c r="G31" s="23" t="n">
        <f aca="false">$C$8-Annahmen!$C$66+G$24+$C$6*($B31/100)*(Annahmen!$C$72-Annahmen!$C$36*Annahmen!$C$27)</f>
        <v>3748.52019442044</v>
      </c>
      <c r="H31" s="23" t="n">
        <f aca="false">$C$8-Annahmen!$C$66+H$24+$C$6*($B31/100)*(Annahmen!$C$72-Annahmen!$C$36*Annahmen!$C$27)</f>
        <v>5248.52019442044</v>
      </c>
    </row>
    <row r="32" customFormat="false" ht="15" hidden="false" customHeight="true" outlineLevel="0" collapsed="false">
      <c r="B32" s="64" t="n">
        <v>30000</v>
      </c>
      <c r="C32" s="23" t="n">
        <f aca="false">$C$8-Annahmen!$C$66+C$24+$C$6*($B32/100)*(Annahmen!$C$72-Annahmen!$C$36*Annahmen!$C$27)</f>
        <v>572.928008540525</v>
      </c>
      <c r="D32" s="23" t="n">
        <f aca="false">$C$8-Annahmen!$C$66+D$24+$C$6*($B32/100)*(Annahmen!$C$72-Annahmen!$C$36*Annahmen!$C$27)</f>
        <v>1572.92800854053</v>
      </c>
      <c r="E32" s="23" t="n">
        <f aca="false">$C$8-Annahmen!$C$66+E$24+$C$6*($B32/100)*(Annahmen!$C$72-Annahmen!$C$36*Annahmen!$C$27)</f>
        <v>2572.92800854053</v>
      </c>
      <c r="F32" s="23" t="n">
        <f aca="false">$C$8-Annahmen!$C$66+F$24+$C$6*($B32/100)*(Annahmen!$C$72-Annahmen!$C$36*Annahmen!$C$27)</f>
        <v>3072.92800854053</v>
      </c>
      <c r="G32" s="23" t="n">
        <f aca="false">$C$8-Annahmen!$C$66+G$24+$C$6*($B32/100)*(Annahmen!$C$72-Annahmen!$C$36*Annahmen!$C$27)</f>
        <v>4072.92800854053</v>
      </c>
      <c r="H32" s="23" t="n">
        <f aca="false">$C$8-Annahmen!$C$66+H$24+$C$6*($B32/100)*(Annahmen!$C$72-Annahmen!$C$36*Annahmen!$C$27)</f>
        <v>5572.92800854053</v>
      </c>
    </row>
    <row r="34" customFormat="false" ht="15" hidden="false" customHeight="true" outlineLevel="0" collapsed="false">
      <c r="B34" s="4" t="s">
        <v>288</v>
      </c>
    </row>
    <row r="35" customFormat="false" ht="15" hidden="false" customHeight="true" outlineLevel="0" collapsed="false">
      <c r="B35" s="6" t="s">
        <v>289</v>
      </c>
      <c r="C35" s="66" t="n">
        <f aca="false">Annahmen!$C$72-Annahmen!$C$36*Annahmen!$C$27</f>
        <v>3.3577</v>
      </c>
      <c r="E35" s="3" t="s">
        <v>290</v>
      </c>
    </row>
    <row r="36" customFormat="false" ht="15" hidden="false" customHeight="true" outlineLevel="0" collapsed="false">
      <c r="B36" s="6" t="s">
        <v>291</v>
      </c>
      <c r="C36" s="58" t="n">
        <f aca="false">$C$8+$C$6*(Annahmen!$C$6/100)*$C$35</f>
        <v>1905.05987770821</v>
      </c>
    </row>
    <row r="37" customFormat="false" ht="15" hidden="false" customHeight="true" outlineLevel="0" collapsed="false">
      <c r="B37" s="40" t="s">
        <v>292</v>
      </c>
      <c r="C37" s="67" t="n">
        <f aca="false">IF($C$35&lt;=0,"nicht erreichbar",MAX(0,-$C$8/($C$6*$C$35)*100))</f>
        <v>0</v>
      </c>
      <c r="E37" s="3" t="s">
        <v>293</v>
      </c>
    </row>
    <row r="38" customFormat="false" ht="15" hidden="false" customHeight="true" outlineLevel="0" collapsed="false">
      <c r="B38" s="40" t="s">
        <v>294</v>
      </c>
      <c r="C38" s="60" t="n">
        <f aca="false">Annahmen!$C$66-$C$36</f>
        <v>594.940122291788</v>
      </c>
      <c r="E38" s="3" t="s">
        <v>295</v>
      </c>
    </row>
    <row r="41" customFormat="false" ht="15" hidden="false" customHeight="true" outlineLevel="0" collapsed="false">
      <c r="B41" s="4" t="s">
        <v>296</v>
      </c>
    </row>
    <row r="42" customFormat="false" ht="15" hidden="false" customHeight="true" outlineLevel="0" collapsed="false">
      <c r="B42" s="6" t="s">
        <v>297</v>
      </c>
    </row>
    <row r="43" customFormat="false" ht="15" hidden="false" customHeight="true" outlineLevel="0" collapsed="false">
      <c r="B43" s="6" t="s">
        <v>298</v>
      </c>
    </row>
    <row r="44" customFormat="false" ht="15" hidden="false" customHeight="true" outlineLevel="0" collapsed="false">
      <c r="B44" s="6" t="s">
        <v>299</v>
      </c>
    </row>
    <row r="45" customFormat="false" ht="15" hidden="false" customHeight="true" outlineLevel="0" collapsed="false">
      <c r="B45" s="6" t="s">
        <v>300</v>
      </c>
    </row>
    <row r="46" customFormat="false" ht="15" hidden="false" customHeight="true" outlineLevel="0" collapsed="false">
      <c r="B46" s="4" t="s">
        <v>301</v>
      </c>
    </row>
    <row r="47" customFormat="false" ht="15" hidden="false" customHeight="true" outlineLevel="0" collapsed="false">
      <c r="B47" s="3" t="s">
        <v>302</v>
      </c>
    </row>
    <row r="49" customFormat="false" ht="15" hidden="false" customHeight="true" outlineLevel="0" collapsed="false">
      <c r="B49" s="6" t="s">
        <v>303</v>
      </c>
      <c r="C49" s="58" t="n">
        <f aca="false">(Annahmen!$C$66+$C$7*(Annahmen!$C$73+Annahmen!$C$74+Annahmen!$C$75)-Annahmen!$C$76/(1+Annahmen!$C$9)^Annahmen!$C$67+(Annahmen!$C$81+Annahmen!$C$41)/(1+Annahmen!$C$9)^Annahmen!$C$67-Annahmen!$C$17*Annahmen!$C$21/(1+Annahmen!$C$9)^(Annahmen!$C$67+Annahmen!$C$19/12)-$C$7*(Annahmen!$C$39+Annahmen!$C$40+Annahmen!$C$42-Annahmen!$C$20))-((Annahmen!$C$33+Annahmen!$C$41)-Annahmen!$C$77-Annahmen!$C$17/(1+Annahmen!$C$10)^Annahmen!$C$19)+$C$6*(Annahmen!$C$6/100)*$C$35</f>
        <v>5120.2972107647</v>
      </c>
    </row>
    <row r="51" customFormat="false" ht="15" hidden="false" customHeight="true" outlineLevel="0" collapsed="false">
      <c r="B51" s="62" t="s">
        <v>304</v>
      </c>
      <c r="C51" s="68" t="n">
        <v>0.1</v>
      </c>
      <c r="D51" s="68" t="n">
        <v>0.13</v>
      </c>
      <c r="E51" s="68" t="n">
        <v>0.15</v>
      </c>
      <c r="F51" s="68" t="n">
        <v>0.18</v>
      </c>
      <c r="G51" s="68" t="n">
        <v>0.2</v>
      </c>
      <c r="H51" s="68" t="n">
        <v>0.25</v>
      </c>
    </row>
    <row r="52" customFormat="false" ht="15" hidden="false" customHeight="true" outlineLevel="0" collapsed="false">
      <c r="B52" s="62" t="s">
        <v>305</v>
      </c>
      <c r="C52" s="23" t="n">
        <f aca="false">$C$49+(Annahmen!$C$33*(1-C$51)^Annahmen!$C$7-Annahmen!$C$81*(1-C$51)^(Annahmen!$C$7-Annahmen!$C$67))/(1+Annahmen!$C$9)^Annahmen!$C$7</f>
        <v>2228.21117082455</v>
      </c>
      <c r="D52" s="23" t="n">
        <f aca="false">$C$49+(Annahmen!$C$33*(1-D$51)^Annahmen!$C$7-Annahmen!$C$81*(1-D$51)^(Annahmen!$C$7-Annahmen!$C$67))/(1+Annahmen!$C$9)^Annahmen!$C$7</f>
        <v>1986.06680140023</v>
      </c>
      <c r="E52" s="23" t="n">
        <f aca="false">$C$49+(Annahmen!$C$33*(1-E$51)^Annahmen!$C$7-Annahmen!$C$81*(1-E$51)^(Annahmen!$C$7-Annahmen!$C$67))/(1+Annahmen!$C$9)^Annahmen!$C$7</f>
        <v>1905.05987770821</v>
      </c>
      <c r="F52" s="23" t="n">
        <f aca="false">$C$49+(Annahmen!$C$33*(1-F$51)^Annahmen!$C$7-Annahmen!$C$81*(1-F$51)^(Annahmen!$C$7-Annahmen!$C$67))/(1+Annahmen!$C$9)^Annahmen!$C$7</f>
        <v>1882.1197750774</v>
      </c>
      <c r="G52" s="23" t="n">
        <f aca="false">$C$49+(Annahmen!$C$33*(1-G$51)^Annahmen!$C$7-Annahmen!$C$81*(1-G$51)^(Annahmen!$C$7-Annahmen!$C$67))/(1+Annahmen!$C$9)^Annahmen!$C$7</f>
        <v>1921.0368139591</v>
      </c>
      <c r="H52" s="23" t="n">
        <f aca="false">$C$49+(Annahmen!$C$33*(1-H$51)^Annahmen!$C$7-Annahmen!$C$81*(1-H$51)^(Annahmen!$C$7-Annahmen!$C$67))/(1+Annahmen!$C$9)^Annahmen!$C$7</f>
        <v>2158.12577346369</v>
      </c>
    </row>
    <row r="54" customFormat="false" ht="15" hidden="false" customHeight="true" outlineLevel="0" collapsed="false">
      <c r="B54" s="3" t="s">
        <v>306</v>
      </c>
    </row>
  </sheetData>
  <conditionalFormatting sqref="C13:H20">
    <cfRule type="colorScale" priority="2">
      <colorScale>
        <cfvo type="min" val="0"/>
        <cfvo type="num" val="0"/>
        <cfvo type="max" val="0"/>
        <color rgb="FFF8696B"/>
        <color rgb="FFFFFFFF"/>
        <color rgb="FF63BE7B"/>
      </colorScale>
    </cfRule>
  </conditionalFormatting>
  <conditionalFormatting sqref="C25:H32">
    <cfRule type="colorScale" priority="3">
      <colorScale>
        <cfvo type="min" val="0"/>
        <cfvo type="num" val="0"/>
        <cfvo type="max" val="0"/>
        <color rgb="FFF8696B"/>
        <color rgb="FFFFFFFF"/>
        <color rgb="FF63BE7B"/>
      </colorScale>
    </cfRule>
  </conditionalFormatting>
  <conditionalFormatting sqref="C52:H52">
    <cfRule type="colorScale" priority="4">
      <colorScale>
        <cfvo type="min" val="0"/>
        <cfvo type="num" val="0"/>
        <cfvo type="max" val="0"/>
        <color rgb="FFF8696B"/>
        <color rgb="FFFFFFFF"/>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7" min="3" style="0" width="18"/>
    <col collapsed="false" customWidth="true" hidden="false" outlineLevel="0" max="9" min="9" style="0" width="58"/>
  </cols>
  <sheetData>
    <row r="2" customFormat="false" ht="16.15" hidden="false" customHeight="false" outlineLevel="0" collapsed="false">
      <c r="B2" s="69" t="s">
        <v>307</v>
      </c>
    </row>
    <row r="3" customFormat="false" ht="15" hidden="false" customHeight="false" outlineLevel="0" collapsed="false">
      <c r="B3" s="28" t="s">
        <v>308</v>
      </c>
    </row>
    <row r="5" customFormat="false" ht="30" hidden="false" customHeight="true" outlineLevel="0" collapsed="false">
      <c r="C5" s="41" t="s">
        <v>309</v>
      </c>
      <c r="D5" s="41" t="s">
        <v>267</v>
      </c>
      <c r="E5" s="41" t="s">
        <v>310</v>
      </c>
      <c r="F5" s="41" t="s">
        <v>311</v>
      </c>
      <c r="G5" s="41" t="s">
        <v>312</v>
      </c>
    </row>
    <row r="6" customFormat="false" ht="15" hidden="false" customHeight="false" outlineLevel="0" collapsed="false">
      <c r="B6" s="26" t="s">
        <v>313</v>
      </c>
      <c r="C6" s="70" t="n">
        <f aca="false">Cashflow!E128</f>
        <v>-20844.0262343616</v>
      </c>
      <c r="D6" s="70" t="n">
        <f aca="false">Cashflow!F128</f>
        <v>-21880.1650495457</v>
      </c>
      <c r="E6" s="70" t="n">
        <f aca="false">Cashflow!G128</f>
        <v>-28638.1236242331</v>
      </c>
      <c r="F6" s="70" t="n">
        <f aca="false">Cashflow!H128</f>
        <v>-22774.3895195561</v>
      </c>
      <c r="G6" s="70" t="n">
        <f aca="false">Cashflow!I128</f>
        <v>-21964.645208226</v>
      </c>
      <c r="I6" s="28" t="s">
        <v>314</v>
      </c>
    </row>
    <row r="7" customFormat="false" ht="15" hidden="false" customHeight="false" outlineLevel="0" collapsed="false">
      <c r="B7" s="71" t="s">
        <v>315</v>
      </c>
      <c r="C7" s="72" t="n">
        <f aca="false">-C6</f>
        <v>20844.0262343616</v>
      </c>
      <c r="D7" s="72" t="n">
        <f aca="false">-D6</f>
        <v>21880.1650495457</v>
      </c>
      <c r="E7" s="72" t="n">
        <f aca="false">-E6</f>
        <v>28638.1236242331</v>
      </c>
      <c r="F7" s="72" t="n">
        <f aca="false">-F6</f>
        <v>22774.3895195561</v>
      </c>
      <c r="G7" s="72" t="n">
        <f aca="false">-G6</f>
        <v>21964.645208226</v>
      </c>
      <c r="I7" s="28" t="s">
        <v>316</v>
      </c>
    </row>
    <row r="8" customFormat="false" ht="15" hidden="false" customHeight="false" outlineLevel="0" collapsed="false">
      <c r="B8" s="26" t="s">
        <v>317</v>
      </c>
      <c r="C8" s="73" t="n">
        <f aca="false">(Annahmen!$C$9*(1+Annahmen!$C$9)^Annahmen!$C$7)/((1+Annahmen!$C$9)^Annahmen!$C$7-1)</f>
        <v>0.184597500450177</v>
      </c>
      <c r="I8" s="28" t="s">
        <v>318</v>
      </c>
    </row>
    <row r="9" customFormat="false" ht="15" hidden="false" customHeight="false" outlineLevel="0" collapsed="false">
      <c r="B9" s="71" t="s">
        <v>319</v>
      </c>
      <c r="C9" s="74" t="n">
        <f aca="false">C7*$C$8</f>
        <v>3847.75514218106</v>
      </c>
      <c r="D9" s="74" t="n">
        <f aca="false">D7*$C$8</f>
        <v>4039.02377758347</v>
      </c>
      <c r="E9" s="74" t="n">
        <f aca="false">E7*$C$8</f>
        <v>5286.5260386166</v>
      </c>
      <c r="F9" s="74" t="n">
        <f aca="false">F7*$C$8</f>
        <v>4204.09537958876</v>
      </c>
      <c r="G9" s="74" t="n">
        <f aca="false">G7*$C$8</f>
        <v>4054.61860371347</v>
      </c>
    </row>
    <row r="10" customFormat="false" ht="15" hidden="false" customHeight="false" outlineLevel="0" collapsed="false">
      <c r="B10" s="26" t="s">
        <v>320</v>
      </c>
      <c r="C10" s="52" t="n">
        <f aca="false">C9/Annahmen!$C$6</f>
        <v>0.320646261848422</v>
      </c>
      <c r="D10" s="52" t="n">
        <f aca="false">D9/Annahmen!$C$6</f>
        <v>0.336585314798622</v>
      </c>
      <c r="E10" s="52" t="n">
        <f aca="false">E9/Annahmen!$C$6</f>
        <v>0.440543836551383</v>
      </c>
      <c r="F10" s="52" t="n">
        <f aca="false">F9/Annahmen!$C$6</f>
        <v>0.350341281632397</v>
      </c>
      <c r="G10" s="52" t="n">
        <f aca="false">G9/Annahmen!$C$6</f>
        <v>0.337884883642789</v>
      </c>
    </row>
    <row r="11" customFormat="false" ht="15" hidden="false" customHeight="false" outlineLevel="0" collapsed="false">
      <c r="B11" s="26" t="s">
        <v>321</v>
      </c>
      <c r="C11" s="34" t="n">
        <f aca="false">$F$7-C7</f>
        <v>1930.36328519453</v>
      </c>
      <c r="D11" s="34" t="n">
        <f aca="false">$F$7-D7</f>
        <v>894.224470010362</v>
      </c>
      <c r="E11" s="34" t="n">
        <f aca="false">$F$7-E7</f>
        <v>-5863.734104677</v>
      </c>
      <c r="F11" s="34" t="n">
        <f aca="false">$F$7-F7</f>
        <v>0</v>
      </c>
      <c r="G11" s="34" t="n">
        <f aca="false">$F$7-G7</f>
        <v>809.744311330134</v>
      </c>
      <c r="I11" s="28" t="s">
        <v>322</v>
      </c>
    </row>
    <row r="13" customFormat="false" ht="23.85" hidden="false" customHeight="false" outlineLevel="0" collapsed="false">
      <c r="B13" s="50" t="s">
        <v>323</v>
      </c>
      <c r="C13" s="75" t="str">
        <f aca="false">INDEX($C$5:$G$5,MATCH(MIN($C$7:$G$7),$C$7:$G$7,0))</f>
        <v>A1  E-Auto
kaufen (neu)</v>
      </c>
    </row>
    <row r="14" customFormat="false" ht="15" hidden="false" customHeight="false" outlineLevel="0" collapsed="false">
      <c r="B14" s="26" t="s">
        <v>324</v>
      </c>
      <c r="C14" s="59" t="n">
        <f aca="false">SMALL($C$7:$G$7,2)-MIN($C$7:$G$7)</f>
        <v>1036.13881518417</v>
      </c>
    </row>
    <row r="15" customFormat="false" ht="15" hidden="false" customHeight="false" outlineLevel="0" collapsed="false">
      <c r="B15" s="26" t="s">
        <v>325</v>
      </c>
      <c r="C15" s="26" t="str">
        <f aca="false">IF(C14&lt;0.03*MIN($C$7:$G$7),"Nein – innerhalb der Prognoseunschärfe","Ja – deutlicher Unterschied")</f>
        <v>Ja – deutlicher Unterschied</v>
      </c>
      <c r="I15" s="28" t="s">
        <v>326</v>
      </c>
    </row>
    <row r="17" customFormat="false" ht="15" hidden="false" customHeight="false" outlineLevel="0" collapsed="false">
      <c r="B17" s="50" t="s">
        <v>327</v>
      </c>
    </row>
    <row r="18" customFormat="false" ht="15" hidden="false" customHeight="false" outlineLevel="0" collapsed="false">
      <c r="B18" s="26" t="s">
        <v>328</v>
      </c>
    </row>
    <row r="19" customFormat="false" ht="15" hidden="false" customHeight="false" outlineLevel="0" collapsed="false">
      <c r="B19" s="26" t="s">
        <v>329</v>
      </c>
    </row>
    <row r="20" customFormat="false" ht="15" hidden="false" customHeight="false" outlineLevel="0" collapsed="false">
      <c r="B20" s="26" t="s">
        <v>330</v>
      </c>
    </row>
    <row r="21" customFormat="false" ht="15" hidden="false" customHeight="false" outlineLevel="0" collapsed="false">
      <c r="B21" s="26" t="s">
        <v>331</v>
      </c>
    </row>
    <row r="22" customFormat="false" ht="15" hidden="false" customHeight="false" outlineLevel="0" collapsed="false">
      <c r="B22" s="26" t="s">
        <v>332</v>
      </c>
    </row>
    <row r="24" customFormat="false" ht="15" hidden="false" customHeight="false" outlineLevel="0" collapsed="false">
      <c r="B24" s="50" t="s">
        <v>333</v>
      </c>
    </row>
    <row r="25" customFormat="false" ht="15" hidden="false" customHeight="false" outlineLevel="0" collapsed="false">
      <c r="B25" s="26" t="s">
        <v>334</v>
      </c>
      <c r="C25" s="34" t="n">
        <f aca="false">-(Annahmen!$C$33+Annahmen!$C$41)</f>
        <v>-25400</v>
      </c>
    </row>
    <row r="26" customFormat="false" ht="15" hidden="false" customHeight="false" outlineLevel="0" collapsed="false">
      <c r="B26" s="26" t="s">
        <v>335</v>
      </c>
      <c r="C26" s="34" t="n">
        <f aca="false">Annahmen!$C$77</f>
        <v>1500</v>
      </c>
    </row>
    <row r="27" customFormat="false" ht="15" hidden="false" customHeight="false" outlineLevel="0" collapsed="false">
      <c r="B27" s="26" t="s">
        <v>336</v>
      </c>
      <c r="C27" s="34" t="n">
        <f aca="false">Annahmen!$C$17/(1+Annahmen!$C$10)^Annahmen!$C$19</f>
        <v>3960.78178818167</v>
      </c>
    </row>
    <row r="28" customFormat="false" ht="15" hidden="false" customHeight="false" outlineLevel="0" collapsed="false">
      <c r="B28" s="26" t="s">
        <v>337</v>
      </c>
      <c r="C28" s="34" t="n">
        <f aca="false">-Annahmen!$C$6/12/100*Annahmen!$C$36*Annahmen!$C$27*SUMPRODUCT(Cashflow!$C$7:$C$126,Cashflow!$D$7:$D$126,--(Cashflow!$B$7:$B$126&lt;=Annahmen!$C$8))</f>
        <v>-4313.09822689114</v>
      </c>
    </row>
    <row r="29" customFormat="false" ht="15" hidden="false" customHeight="false" outlineLevel="0" collapsed="false">
      <c r="B29" s="26" t="s">
        <v>338</v>
      </c>
      <c r="C29" s="34" t="n">
        <f aca="false">-(Annahmen!$C$39+Annahmen!$C$40+Annahmen!$C$42)/12*SUMPRODUCT(Cashflow!$C$7:$C$126,--(Cashflow!$B$7:$B$126&lt;=Annahmen!$C$8))</f>
        <v>-5765.84431268361</v>
      </c>
    </row>
    <row r="30" customFormat="false" ht="15" hidden="false" customHeight="false" outlineLevel="0" collapsed="false">
      <c r="B30" s="26" t="s">
        <v>339</v>
      </c>
      <c r="C30" s="34" t="n">
        <f aca="false">Annahmen!$C$20*SUMPRODUCT(Cashflow!$C$7:$C$126,--(MOD(Cashflow!$B$7:$B$126,12)=0),--(Cashflow!$B$7:$B$126&lt;=Annahmen!$C$8))</f>
        <v>1625.15743316345</v>
      </c>
    </row>
    <row r="31" customFormat="false" ht="15" hidden="false" customHeight="false" outlineLevel="0" collapsed="false">
      <c r="B31" s="26" t="s">
        <v>340</v>
      </c>
      <c r="C31" s="34" t="n">
        <f aca="false">Annahmen!$C$38/(1+Annahmen!$C$10)^Annahmen!$C$8</f>
        <v>7548.97708386805</v>
      </c>
    </row>
    <row r="32" customFormat="false" ht="15" hidden="false" customHeight="false" outlineLevel="0" collapsed="false">
      <c r="B32" s="71" t="s">
        <v>341</v>
      </c>
      <c r="C32" s="76" t="n">
        <f aca="false">SUM(C25:C31)</f>
        <v>-20844.0262343616</v>
      </c>
      <c r="D32" s="77" t="n">
        <f aca="false">C6-C32</f>
        <v>0</v>
      </c>
      <c r="E32" s="28" t="s">
        <v>342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2026-08-04T18:47:58Z</dcterms:created>
  <dc:creator>openpyxl</dc:creator>
  <dc:description/>
  <dc:language>en-US</dc:language>
  <cp:lastModifiedBy/>
  <dcterms:modified xsi:type="dcterms:W3CDTF">2026-08-04T18:58:14Z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